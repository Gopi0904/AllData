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EE8D23019D6E39/ドキュメント/"/>
    </mc:Choice>
  </mc:AlternateContent>
  <xr:revisionPtr revIDLastSave="959" documentId="8_{84FBEC35-7F7C-4E6B-822A-8BEE84D09576}" xr6:coauthVersionLast="47" xr6:coauthVersionMax="47" xr10:uidLastSave="{D6E228F4-4E11-4277-AEBE-89767051355E}"/>
  <bookViews>
    <workbookView xWindow="-108" yWindow="-108" windowWidth="23256" windowHeight="13896" xr2:uid="{4ABF9440-F9B4-43A8-B06B-12B45C721091}"/>
  </bookViews>
  <sheets>
    <sheet name="Project 2" sheetId="1" r:id="rId1"/>
    <sheet name="Dashboard" sheetId="5" r:id="rId2"/>
  </sheets>
  <externalReferences>
    <externalReference r:id="rId3"/>
  </externalReferences>
  <calcPr calcId="191029" iterate="1"/>
  <pivotCaches>
    <pivotCache cacheId="4" r:id="rId4"/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  <c r="T37" i="1"/>
  <c r="U37" i="1" s="1"/>
  <c r="T36" i="1"/>
  <c r="T35" i="1"/>
  <c r="U35" i="1" s="1"/>
  <c r="T34" i="1"/>
  <c r="U34" i="1" s="1"/>
  <c r="T33" i="1"/>
  <c r="T32" i="1"/>
  <c r="U32" i="1" s="1"/>
  <c r="T31" i="1"/>
  <c r="U31" i="1" s="1"/>
  <c r="T30" i="1"/>
  <c r="U30" i="1" s="1"/>
  <c r="T29" i="1"/>
  <c r="U29" i="1" s="1"/>
  <c r="T28" i="1"/>
  <c r="T27" i="1"/>
  <c r="U27" i="1" s="1"/>
  <c r="T26" i="1"/>
  <c r="U26" i="1" s="1"/>
  <c r="N39" i="1"/>
  <c r="N40" i="1"/>
  <c r="U33" i="1" l="1"/>
  <c r="U28" i="1"/>
  <c r="U36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<sst xmlns="http://schemas.openxmlformats.org/spreadsheetml/2006/main" count="914" uniqueCount="143">
  <si>
    <t>Customer_ID</t>
  </si>
  <si>
    <t>Customer_Name</t>
  </si>
  <si>
    <t>Region</t>
  </si>
  <si>
    <t>Product_Category</t>
  </si>
  <si>
    <t>Sales</t>
  </si>
  <si>
    <t>Quantity</t>
  </si>
  <si>
    <t>Discount</t>
  </si>
  <si>
    <t>Order_Date</t>
  </si>
  <si>
    <t>Time Stamp</t>
  </si>
  <si>
    <t>CUST015</t>
  </si>
  <si>
    <t>James Wilson</t>
  </si>
  <si>
    <t>West</t>
  </si>
  <si>
    <t>Clothing</t>
  </si>
  <si>
    <t>North</t>
  </si>
  <si>
    <t>Electronics</t>
  </si>
  <si>
    <t>CUST024</t>
  </si>
  <si>
    <t>Linda Taylor</t>
  </si>
  <si>
    <t>CUST002</t>
  </si>
  <si>
    <t>Mary Jackson</t>
  </si>
  <si>
    <t>Central</t>
  </si>
  <si>
    <t>Office Supplies</t>
  </si>
  <si>
    <t>CUST004</t>
  </si>
  <si>
    <t>Mary Davis</t>
  </si>
  <si>
    <t>CUST014</t>
  </si>
  <si>
    <t>Emma Davis</t>
  </si>
  <si>
    <t>CUST006</t>
  </si>
  <si>
    <t>Books</t>
  </si>
  <si>
    <t>CUST005</t>
  </si>
  <si>
    <t>Sarah Anderson</t>
  </si>
  <si>
    <t>South</t>
  </si>
  <si>
    <t>CUST007</t>
  </si>
  <si>
    <t>David Brown</t>
  </si>
  <si>
    <t>CUST027</t>
  </si>
  <si>
    <t>Linda Wilson</t>
  </si>
  <si>
    <t>David Thomas</t>
  </si>
  <si>
    <t>CUST018</t>
  </si>
  <si>
    <t>David Anderson</t>
  </si>
  <si>
    <t>CUST025</t>
  </si>
  <si>
    <t>Sarah Davis</t>
  </si>
  <si>
    <t>CUST001</t>
  </si>
  <si>
    <t>Michael Anderson</t>
  </si>
  <si>
    <t>Furniture</t>
  </si>
  <si>
    <t>Linda Brown</t>
  </si>
  <si>
    <t>East</t>
  </si>
  <si>
    <t>CUST028</t>
  </si>
  <si>
    <t>Lisa Davis</t>
  </si>
  <si>
    <t>CUST021</t>
  </si>
  <si>
    <t>CUST020</t>
  </si>
  <si>
    <t>CUST012</t>
  </si>
  <si>
    <t>Mary Wilson</t>
  </si>
  <si>
    <t>CUST022</t>
  </si>
  <si>
    <t>CUST009</t>
  </si>
  <si>
    <t>Emma Wilson</t>
  </si>
  <si>
    <t>CUST003</t>
  </si>
  <si>
    <t>James Davis</t>
  </si>
  <si>
    <t>CUST019</t>
  </si>
  <si>
    <t>Linda Jackson</t>
  </si>
  <si>
    <t>CUST030</t>
  </si>
  <si>
    <t>James Taylor</t>
  </si>
  <si>
    <t>CUST008</t>
  </si>
  <si>
    <t>CUST013</t>
  </si>
  <si>
    <t>CUST026</t>
  </si>
  <si>
    <t>Emma Taylor</t>
  </si>
  <si>
    <t>David Davis</t>
  </si>
  <si>
    <t>CUST011</t>
  </si>
  <si>
    <t>CUST010</t>
  </si>
  <si>
    <t>CUST029</t>
  </si>
  <si>
    <t>CUST023</t>
  </si>
  <si>
    <t>David Smith</t>
  </si>
  <si>
    <t>Robert Anderson</t>
  </si>
  <si>
    <t>Lisa Thomas</t>
  </si>
  <si>
    <t>CUST017</t>
  </si>
  <si>
    <t>CUST016</t>
  </si>
  <si>
    <t>Linda Moore</t>
  </si>
  <si>
    <t>Linda Davis</t>
  </si>
  <si>
    <t>John Brown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</si>
  <si>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</si>
  <si>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</si>
  <si>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</si>
  <si>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</si>
  <si>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</si>
  <si>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</si>
  <si>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</si>
  <si>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</si>
  <si>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</si>
  <si>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</si>
  <si>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</si>
  <si>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</si>
  <si>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</si>
  <si>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</si>
  <si>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</si>
  <si>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</si>
  <si>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</si>
  <si>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</si>
  <si>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</si>
  <si>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</si>
  <si>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</si>
  <si>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</si>
  <si>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</si>
  <si>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</si>
  <si>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</si>
  <si>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Linear Regression</t>
  </si>
  <si>
    <t>Descriptive Statistics</t>
  </si>
  <si>
    <t>Mean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</si>
  <si>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</si>
  <si>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</si>
  <si>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</si>
  <si>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</si>
  <si>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</si>
  <si>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</si>
  <si>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</si>
  <si>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</si>
  <si>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</si>
  <si>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</si>
  <si>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</si>
  <si>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High-Value Customer</t>
  </si>
  <si>
    <t>Name</t>
  </si>
  <si>
    <t>Value</t>
  </si>
  <si>
    <t>Monthly Sales Growth</t>
  </si>
  <si>
    <t>Month</t>
  </si>
  <si>
    <t>Total Sales</t>
  </si>
  <si>
    <t xml:space="preserve">Growth % </t>
  </si>
  <si>
    <t>Dashboard</t>
  </si>
  <si>
    <t>Row Labels</t>
  </si>
  <si>
    <t>Grand Total</t>
  </si>
  <si>
    <t>Sum of Sales</t>
  </si>
  <si>
    <t xml:space="preserve">Sum of Growth % </t>
  </si>
  <si>
    <t>Qtr1</t>
  </si>
  <si>
    <t>Qtr2</t>
  </si>
  <si>
    <t>Qtr3</t>
  </si>
  <si>
    <t>Qtr4</t>
  </si>
  <si>
    <t>Total Revenue</t>
  </si>
  <si>
    <t>High Discount</t>
  </si>
  <si>
    <t>Created by Gopi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</si>
  <si>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</si>
  <si>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</si>
  <si>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</si>
  <si>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</si>
  <si>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</si>
  <si>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</si>
  <si>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</si>
  <si>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Low Discount</t>
  </si>
  <si>
    <t>Discount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</si>
</sst>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3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3" fillId="0" borderId="0" xfId="0" applyFont="1"/>
    <xf numFmtId="0" fontId="2" fillId="0" borderId="0" xfId="0" applyFont="1"/>
    <xf numFmtId="0" fontId="4" fillId="0" borderId="0" xfId="0" applyFont="1"/>
    <xf numFmtId="164" fontId="4" fillId="0" borderId="0" xfId="0" applyNumberFormat="1" applyFont="1"/>
    <xf numFmtId="22" fontId="1" fillId="0" borderId="0" xfId="0" applyNumberFormat="1" applyFont="1"/>
    <xf numFmtId="0" fontId="0" fillId="3" borderId="4" xfId="0" applyFill="1" applyBorder="1"/>
    <xf numFmtId="0" fontId="0" fillId="3" borderId="0" xfId="0" applyFill="1"/>
    <xf numFmtId="0" fontId="0" fillId="3" borderId="5" xfId="0" applyFill="1" applyBorder="1"/>
    <xf numFmtId="0" fontId="5" fillId="3" borderId="6" xfId="0" applyFont="1" applyFill="1" applyBorder="1" applyAlignment="1">
      <alignment horizontal="centerContinuous"/>
    </xf>
    <xf numFmtId="0" fontId="5" fillId="3" borderId="3" xfId="0" applyFont="1" applyFill="1" applyBorder="1" applyAlignment="1">
      <alignment horizontal="centerContinuous"/>
    </xf>
    <xf numFmtId="0" fontId="0" fillId="3" borderId="7" xfId="0" applyFill="1" applyBorder="1"/>
    <xf numFmtId="0" fontId="0" fillId="3" borderId="1" xfId="0" applyFill="1" applyBorder="1"/>
    <xf numFmtId="0" fontId="5" fillId="3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0" fillId="5" borderId="15" xfId="0" applyFill="1" applyBorder="1"/>
    <xf numFmtId="0" fontId="2" fillId="6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17" fontId="0" fillId="9" borderId="15" xfId="0" applyNumberFormat="1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10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8" borderId="16" xfId="0" applyFill="1" applyBorder="1"/>
    <xf numFmtId="0" fontId="0" fillId="8" borderId="9" xfId="0" applyFill="1" applyBorder="1"/>
    <xf numFmtId="0" fontId="0" fillId="8" borderId="5" xfId="0" applyFill="1" applyBorder="1"/>
    <xf numFmtId="0" fontId="0" fillId="8" borderId="14" xfId="0" applyFill="1" applyBorder="1"/>
    <xf numFmtId="0" fontId="0" fillId="8" borderId="10" xfId="0" applyFill="1" applyBorder="1"/>
    <xf numFmtId="0" fontId="0" fillId="10" borderId="0" xfId="0" applyFill="1" applyAlignment="1">
      <alignment vertical="center"/>
    </xf>
    <xf numFmtId="0" fontId="0" fillId="10" borderId="4" xfId="0" applyFill="1" applyBorder="1"/>
    <xf numFmtId="0" fontId="0" fillId="10" borderId="8" xfId="0" applyFill="1" applyBorder="1"/>
    <xf numFmtId="0" fontId="0" fillId="10" borderId="13" xfId="0" applyFill="1" applyBorder="1"/>
    <xf numFmtId="0" fontId="0" fillId="6" borderId="0" xfId="0" applyFill="1"/>
    <xf numFmtId="0" fontId="0" fillId="6" borderId="16" xfId="0" applyFill="1" applyBorder="1"/>
    <xf numFmtId="0" fontId="0" fillId="6" borderId="5" xfId="0" applyFill="1" applyBorder="1"/>
    <xf numFmtId="0" fontId="0" fillId="6" borderId="9" xfId="0" applyFill="1" applyBorder="1"/>
    <xf numFmtId="0" fontId="0" fillId="6" borderId="10" xfId="0" applyFill="1" applyBorder="1"/>
    <xf numFmtId="17" fontId="0" fillId="0" borderId="0" xfId="0" applyNumberFormat="1" applyAlignment="1">
      <alignment horizontal="left"/>
    </xf>
    <xf numFmtId="0" fontId="0" fillId="5" borderId="16" xfId="0" applyFill="1" applyBorder="1"/>
    <xf numFmtId="0" fontId="0" fillId="5" borderId="13" xfId="0" applyFill="1" applyBorder="1"/>
    <xf numFmtId="0" fontId="0" fillId="5" borderId="4" xfId="0" applyFill="1" applyBorder="1"/>
    <xf numFmtId="0" fontId="0" fillId="5" borderId="14" xfId="0" applyFill="1" applyBorder="1"/>
    <xf numFmtId="0" fontId="0" fillId="5" borderId="5" xfId="0" applyFill="1" applyBorder="1"/>
    <xf numFmtId="0" fontId="0" fillId="5" borderId="0" xfId="0" applyFill="1"/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7" fillId="4" borderId="15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8" borderId="1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11" borderId="0" xfId="0" applyFill="1"/>
    <xf numFmtId="0" fontId="0" fillId="11" borderId="16" xfId="0" applyFill="1" applyBorder="1"/>
    <xf numFmtId="0" fontId="0" fillId="11" borderId="13" xfId="0" applyFill="1" applyBorder="1"/>
    <xf numFmtId="0" fontId="0" fillId="11" borderId="4" xfId="0" applyFill="1" applyBorder="1"/>
    <xf numFmtId="0" fontId="0" fillId="11" borderId="14" xfId="0" applyFill="1" applyBorder="1"/>
    <xf numFmtId="0" fontId="0" fillId="11" borderId="5" xfId="0" applyFill="1" applyBorder="1"/>
    <xf numFmtId="0" fontId="0" fillId="11" borderId="8" xfId="0" applyFill="1" applyBorder="1"/>
    <xf numFmtId="0" fontId="0" fillId="11" borderId="9" xfId="0" applyFill="1" applyBorder="1"/>
    <xf numFmtId="0" fontId="0" fillId="11" borderId="10" xfId="0" applyFill="1" applyBorder="1"/>
    <xf numFmtId="0" fontId="0" fillId="0" borderId="0" xfId="0" applyNumberFormat="1"/>
    <xf numFmtId="17" fontId="0" fillId="0" borderId="0" xfId="0" applyNumberFormat="1" applyAlignment="1">
      <alignment horizontal="left" indent="1"/>
    </xf>
    <xf numFmtId="0" fontId="0" fillId="0" borderId="0" xfId="0" applyFill="1"/>
    <xf numFmtId="0" fontId="0" fillId="3" borderId="0" xfId="0" applyFill="1" applyBorder="1" applyAlignment="1">
      <alignment horizontal="center"/>
    </xf>
    <xf numFmtId="0" fontId="9" fillId="3" borderId="0" xfId="0" applyFont="1" applyFill="1" applyBorder="1" applyAlignment="1">
      <alignment horizontal="center" vertical="center"/>
    </xf>
    <xf numFmtId="0" fontId="0" fillId="0" borderId="0" xfId="0" applyFill="1" applyBorder="1" applyAlignment="1"/>
    <xf numFmtId="0" fontId="9" fillId="3" borderId="18" xfId="0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3" borderId="23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4" xfId="0" applyFont="1" applyFill="1" applyBorder="1" applyAlignment="1">
      <alignment horizontal="center" vertical="center"/>
    </xf>
    <xf numFmtId="0" fontId="0" fillId="10" borderId="25" xfId="0" applyFill="1" applyBorder="1"/>
    <xf numFmtId="0" fontId="0" fillId="10" borderId="5" xfId="0" applyFill="1" applyBorder="1"/>
    <xf numFmtId="0" fontId="0" fillId="10" borderId="4" xfId="0" applyFill="1" applyBorder="1" applyAlignment="1">
      <alignment vertical="center"/>
    </xf>
    <xf numFmtId="0" fontId="0" fillId="6" borderId="0" xfId="0" applyFill="1" applyBorder="1" applyAlignment="1">
      <alignment horizontal="center"/>
    </xf>
    <xf numFmtId="0" fontId="0" fillId="8" borderId="0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20" xfId="0" applyFill="1" applyBorder="1" applyAlignment="1">
      <alignment horizontal="center"/>
    </xf>
    <xf numFmtId="0" fontId="0" fillId="3" borderId="21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23" xfId="0" applyFill="1" applyBorder="1" applyAlignment="1">
      <alignment horizontal="center"/>
    </xf>
    <xf numFmtId="0" fontId="0" fillId="3" borderId="24" xfId="0" applyFill="1" applyBorder="1" applyAlignment="1">
      <alignment horizontal="center"/>
    </xf>
    <xf numFmtId="0" fontId="0" fillId="0" borderId="1" xfId="0" applyFill="1" applyBorder="1" applyAlignment="1"/>
    <xf numFmtId="0" fontId="10" fillId="12" borderId="9" xfId="0" applyFont="1" applyFill="1" applyBorder="1" applyAlignment="1">
      <alignment horizontal="left"/>
    </xf>
    <xf numFmtId="0" fontId="10" fillId="12" borderId="19" xfId="0" applyFont="1" applyFill="1" applyBorder="1" applyAlignment="1">
      <alignment horizontal="left"/>
    </xf>
    <xf numFmtId="0" fontId="0" fillId="0" borderId="2" xfId="0" applyFill="1" applyBorder="1" applyAlignment="1"/>
    <xf numFmtId="0" fontId="11" fillId="13" borderId="0" xfId="0" applyFont="1" applyFill="1" applyBorder="1" applyAlignment="1">
      <alignment horizontal="left"/>
    </xf>
    <xf numFmtId="0" fontId="12" fillId="13" borderId="2" xfId="0" applyFont="1" applyFill="1" applyBorder="1" applyAlignment="1">
      <alignment horizontal="left"/>
    </xf>
    <xf numFmtId="0" fontId="11" fillId="13" borderId="1" xfId="0" applyFont="1" applyFill="1" applyBorder="1" applyAlignment="1">
      <alignment horizontal="left"/>
    </xf>
    <xf numFmtId="0" fontId="13" fillId="12" borderId="19" xfId="0" applyFont="1" applyFill="1" applyBorder="1" applyAlignment="1">
      <alignment horizontal="right"/>
    </xf>
    <xf numFmtId="0" fontId="13" fillId="12" borderId="9" xfId="0" applyFont="1" applyFill="1" applyBorder="1" applyAlignment="1">
      <alignment horizontal="right"/>
    </xf>
    <xf numFmtId="0" fontId="0" fillId="14" borderId="0" xfId="0" applyFill="1" applyBorder="1" applyAlignment="1"/>
    <xf numFmtId="0" fontId="14" fillId="0" borderId="0" xfId="0" applyFont="1" applyFill="1" applyBorder="1" applyAlignment="1">
      <alignment vertical="top" wrapText="1"/>
    </xf>
    <xf numFmtId="0" fontId="10" fillId="12" borderId="18" xfId="0" applyFont="1" applyFill="1" applyBorder="1" applyAlignment="1">
      <alignment horizontal="left"/>
    </xf>
    <xf numFmtId="0" fontId="13" fillId="12" borderId="20" xfId="0" applyFont="1" applyFill="1" applyBorder="1" applyAlignment="1">
      <alignment horizontal="right"/>
    </xf>
    <xf numFmtId="0" fontId="10" fillId="12" borderId="26" xfId="0" applyFont="1" applyFill="1" applyBorder="1" applyAlignment="1">
      <alignment horizontal="left"/>
    </xf>
    <xf numFmtId="0" fontId="13" fillId="12" borderId="27" xfId="0" applyFont="1" applyFill="1" applyBorder="1" applyAlignment="1">
      <alignment horizontal="right"/>
    </xf>
    <xf numFmtId="0" fontId="11" fillId="13" borderId="21" xfId="0" applyFont="1" applyFill="1" applyBorder="1" applyAlignment="1">
      <alignment horizontal="left"/>
    </xf>
    <xf numFmtId="0" fontId="14" fillId="0" borderId="22" xfId="0" applyFont="1" applyFill="1" applyBorder="1" applyAlignment="1">
      <alignment vertical="top" wrapText="1"/>
    </xf>
    <xf numFmtId="0" fontId="12" fillId="13" borderId="28" xfId="0" applyFont="1" applyFill="1" applyBorder="1" applyAlignment="1">
      <alignment horizontal="left"/>
    </xf>
    <xf numFmtId="0" fontId="0" fillId="0" borderId="29" xfId="0" applyFill="1" applyBorder="1" applyAlignment="1"/>
    <xf numFmtId="0" fontId="0" fillId="14" borderId="22" xfId="0" applyFill="1" applyBorder="1" applyAlignment="1"/>
    <xf numFmtId="0" fontId="11" fillId="13" borderId="23" xfId="0" applyFont="1" applyFill="1" applyBorder="1" applyAlignment="1">
      <alignment horizontal="left"/>
    </xf>
    <xf numFmtId="0" fontId="0" fillId="0" borderId="24" xfId="0" applyFill="1" applyBorder="1" applyAlignment="1"/>
    <xf numFmtId="0" fontId="0" fillId="0" borderId="21" xfId="0" applyBorder="1"/>
    <xf numFmtId="0" fontId="0" fillId="0" borderId="0" xfId="0" applyBorder="1"/>
    <xf numFmtId="0" fontId="0" fillId="0" borderId="22" xfId="0" applyBorder="1"/>
    <xf numFmtId="0" fontId="0" fillId="0" borderId="23" xfId="0" applyBorder="1"/>
    <xf numFmtId="0" fontId="0" fillId="0" borderId="1" xfId="0" applyBorder="1"/>
    <xf numFmtId="0" fontId="0" fillId="0" borderId="24" xfId="0" applyBorder="1"/>
  </cellXfs>
  <cellStyles count="1">
    <cellStyle name="Normal" xfId="0" builtinId="0"/>
  </cellStyles>
  <dxfs count="15">
    <dxf>
      <fill>
        <patternFill>
          <bgColor rgb="FFFFFF00"/>
        </patternFill>
      </fill>
    </dxf>
    <dxf>
      <fill>
        <gradientFill degree="180">
          <stop position="0">
            <color rgb="FFFFFF99"/>
          </stop>
          <stop position="1">
            <color rgb="FFFFFFCC"/>
          </stop>
        </gradientFill>
      </fill>
    </dxf>
    <dxf>
      <fill>
        <patternFill>
          <bgColor rgb="FF00B0F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27" formatCode="dd/mm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solidFill>
          <a:schemeClr val="accent5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313-46AF-B324-AF7787A0F6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B313-46AF-B324-AF7787A0F6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313-46AF-B324-AF7787A0F6D5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313-46AF-B324-AF7787A0F6D5}"/>
              </c:ext>
            </c:extLst>
          </c:dPt>
          <c:dPt>
            <c:idx val="4"/>
            <c:invertIfNegative val="0"/>
            <c:bubble3D val="0"/>
            <c:spPr>
              <a:solidFill>
                <a:srgbClr val="FF99CC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313-46AF-B324-AF7787A0F6D5}"/>
              </c:ext>
            </c:extLst>
          </c:dPt>
          <c:cat>
            <c:strLit>
              <c:ptCount val="5"/>
              <c:pt idx="0">
                <c:v>Central</c:v>
              </c:pt>
              <c:pt idx="1">
                <c:v>East</c:v>
              </c:pt>
              <c:pt idx="2">
                <c:v>North</c:v>
              </c:pt>
              <c:pt idx="3">
                <c:v>South</c:v>
              </c:pt>
              <c:pt idx="4">
                <c:v>West</c:v>
              </c:pt>
            </c:strLit>
          </c:cat>
          <c:val>
            <c:numLit>
              <c:formatCode>General</c:formatCode>
              <c:ptCount val="5"/>
              <c:pt idx="0">
                <c:v>43468.329999999994</c:v>
              </c:pt>
              <c:pt idx="1">
                <c:v>32441.640000000003</c:v>
              </c:pt>
              <c:pt idx="2">
                <c:v>34975.42</c:v>
              </c:pt>
              <c:pt idx="3">
                <c:v>40248.79</c:v>
              </c:pt>
              <c:pt idx="4">
                <c:v>44083.580000000009</c:v>
              </c:pt>
            </c:numLit>
          </c:val>
          <c:extLst>
            <c:ext xmlns:c16="http://schemas.microsoft.com/office/drawing/2014/chart" uri="{C3380CC4-5D6E-409C-BE32-E72D297353CC}">
              <c16:uniqueId val="{00000000-B313-46AF-B324-AF7787A0F6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1104390144"/>
        <c:axId val="1104388224"/>
      </c:barChart>
      <c:catAx>
        <c:axId val="110439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388224"/>
        <c:crosses val="autoZero"/>
        <c:auto val="1"/>
        <c:lblAlgn val="ctr"/>
        <c:lblOffset val="100"/>
        <c:noMultiLvlLbl val="0"/>
      </c:catAx>
      <c:valAx>
        <c:axId val="110438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390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Products</a:t>
            </a:r>
          </a:p>
        </c:rich>
      </c:tx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854-43F8-A16D-F13FB61A2D4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854-43F8-A16D-F13FB61A2D4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854-43F8-A16D-F13FB61A2D4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C854-43F8-A16D-F13FB61A2D4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C854-43F8-A16D-F13FB61A2D4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Books</c:v>
              </c:pt>
              <c:pt idx="1">
                <c:v>Clothing</c:v>
              </c:pt>
              <c:pt idx="2">
                <c:v>Electronics</c:v>
              </c:pt>
              <c:pt idx="3">
                <c:v>Furniture</c:v>
              </c:pt>
              <c:pt idx="4">
                <c:v>Office Supplies</c:v>
              </c:pt>
            </c:strLit>
          </c:cat>
          <c:val>
            <c:numLit>
              <c:formatCode>General</c:formatCode>
              <c:ptCount val="5"/>
              <c:pt idx="0">
                <c:v>47002.459999999977</c:v>
              </c:pt>
              <c:pt idx="1">
                <c:v>41927.589999999982</c:v>
              </c:pt>
              <c:pt idx="2">
                <c:v>41044</c:v>
              </c:pt>
              <c:pt idx="3">
                <c:v>36612.890000000007</c:v>
              </c:pt>
              <c:pt idx="4">
                <c:v>28630.819999999992</c:v>
              </c:pt>
            </c:numLit>
          </c:val>
          <c:extLst>
            <c:ext xmlns:c16="http://schemas.microsoft.com/office/drawing/2014/chart" uri="{C3380CC4-5D6E-409C-BE32-E72D297353CC}">
              <c16:uniqueId val="{0000000A-C854-43F8-A16D-F13FB61A2D42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Monthly</a:t>
            </a:r>
            <a:r>
              <a:rPr lang="en-US" sz="1600" b="1" baseline="0"/>
              <a:t> Sales Trend</a:t>
            </a:r>
            <a:endParaRPr lang="en-US" sz="1600" b="1"/>
          </a:p>
        </c:rich>
      </c:tx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12"/>
              <c:pt idx="0">
                <c:v>Apr-24</c:v>
              </c:pt>
              <c:pt idx="1">
                <c:v>May-24</c:v>
              </c:pt>
              <c:pt idx="2">
                <c:v>Jun-24</c:v>
              </c:pt>
              <c:pt idx="3">
                <c:v>Jul-24</c:v>
              </c:pt>
              <c:pt idx="4">
                <c:v>Aug-24</c:v>
              </c:pt>
              <c:pt idx="5">
                <c:v>Sep-24</c:v>
              </c:pt>
              <c:pt idx="6">
                <c:v>Oct-24</c:v>
              </c:pt>
              <c:pt idx="7">
                <c:v>Nov-24</c:v>
              </c:pt>
              <c:pt idx="8">
                <c:v>Dec-24</c:v>
              </c:pt>
              <c:pt idx="9">
                <c:v>Jan-25</c:v>
              </c:pt>
              <c:pt idx="10">
                <c:v>Feb-25</c:v>
              </c:pt>
              <c:pt idx="11">
                <c:v>Mar-25</c:v>
              </c:pt>
            </c:strLit>
          </c:cat>
          <c:val>
            <c:numLit>
              <c:formatCode>General</c:formatCode>
              <c:ptCount val="12"/>
              <c:pt idx="0">
                <c:v>-2.7463010957458601E-2</c:v>
              </c:pt>
              <c:pt idx="1">
                <c:v>9.0783980842195078E-2</c:v>
              </c:pt>
              <c:pt idx="2">
                <c:v>-0.42493947990613989</c:v>
              </c:pt>
              <c:pt idx="3">
                <c:v>-0.13070331396911358</c:v>
              </c:pt>
              <c:pt idx="4">
                <c:v>1.0346918755016501</c:v>
              </c:pt>
              <c:pt idx="5">
                <c:v>-0.30770496992719226</c:v>
              </c:pt>
              <c:pt idx="6">
                <c:v>0.41643968023051309</c:v>
              </c:pt>
              <c:pt idx="7">
                <c:v>-0.44772667336477762</c:v>
              </c:pt>
              <c:pt idx="8">
                <c:v>-1</c:v>
              </c:pt>
              <c:pt idx="9">
                <c:v>-6.0899183018039371E-2</c:v>
              </c:pt>
              <c:pt idx="10">
                <c:v>0.26051450912299834</c:v>
              </c:pt>
              <c:pt idx="11">
                <c:v>7.7865922939504881E-2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7BC-4B02-8F03-B8E1CC982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5258848"/>
        <c:axId val="1505249728"/>
      </c:lineChart>
      <c:catAx>
        <c:axId val="150525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249728"/>
        <c:crosses val="autoZero"/>
        <c:auto val="1"/>
        <c:lblAlgn val="ctr"/>
        <c:lblOffset val="100"/>
        <c:noMultiLvlLbl val="0"/>
      </c:catAx>
      <c:valAx>
        <c:axId val="1505249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Growth</a:t>
                </a:r>
                <a:r>
                  <a:rPr lang="en-US" baseline="0"/>
                  <a:t> %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52588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Growth By Quarters(Month)</a:t>
            </a:r>
          </a:p>
        </c:rich>
      </c:tx>
      <c:overlay val="0"/>
      <c:spPr>
        <a:solidFill>
          <a:schemeClr val="accent1">
            <a:lumMod val="40000"/>
            <a:lumOff val="6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radarChart>
        <c:radarStyle val="marker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Lit>
              <c:ptCount val="4"/>
              <c:pt idx="0">
                <c:v>Qtr1</c:v>
              </c:pt>
              <c:pt idx="1">
                <c:v>Qtr2</c:v>
              </c:pt>
              <c:pt idx="2">
                <c:v>Qtr3</c:v>
              </c:pt>
              <c:pt idx="3">
                <c:v>Qtr4</c:v>
              </c:pt>
            </c:strLit>
          </c:cat>
          <c:val>
            <c:numLit>
              <c:formatCode>General</c:formatCode>
              <c:ptCount val="4"/>
              <c:pt idx="0">
                <c:v>0.27748124904446386</c:v>
              </c:pt>
              <c:pt idx="1">
                <c:v>-0.36161851002140344</c:v>
              </c:pt>
              <c:pt idx="2">
                <c:v>0.59628359160534417</c:v>
              </c:pt>
              <c:pt idx="3">
                <c:v>-1.0312869931342645</c:v>
              </c:pt>
            </c:numLit>
          </c:val>
          <c:extLst>
            <c:ext xmlns:c16="http://schemas.microsoft.com/office/drawing/2014/chart" uri="{C3380CC4-5D6E-409C-BE32-E72D297353CC}">
              <c16:uniqueId val="{00000000-069F-4DAC-894D-CB50E4ED4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2133440"/>
        <c:axId val="2032129600"/>
      </c:radarChart>
      <c:catAx>
        <c:axId val="203213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129600"/>
        <c:crosses val="autoZero"/>
        <c:auto val="1"/>
        <c:lblAlgn val="ctr"/>
        <c:lblOffset val="100"/>
        <c:noMultiLvlLbl val="0"/>
      </c:catAx>
      <c:valAx>
        <c:axId val="2032129600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03213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381000</xdr:colOff>
      <xdr:row>6</xdr:row>
      <xdr:rowOff>106680</xdr:rowOff>
    </xdr:from>
    <xdr:to>
      <xdr:col>8</xdr:col>
      <xdr:colOff>76200</xdr:colOff>
      <xdr:row>20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91C0E5-56D6-4FBA-A4E9-EB89F55C7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381000</xdr:colOff>
      <xdr:row>24</xdr:row>
      <xdr:rowOff>167640</xdr:rowOff>
    </xdr:from>
    <xdr:to>
      <xdr:col>8</xdr:col>
      <xdr:colOff>76200</xdr:colOff>
      <xdr:row>38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D48FBF-8DDC-445C-AFE8-CB2DF60E4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161504</xdr:colOff>
      <xdr:row>22</xdr:row>
      <xdr:rowOff>167640</xdr:rowOff>
    </xdr:from>
    <xdr:to>
      <xdr:col>18</xdr:col>
      <xdr:colOff>385947</xdr:colOff>
      <xdr:row>38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1353ED6-6DC8-467F-B157-C2BAFCB6E1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158338</xdr:colOff>
      <xdr:row>22</xdr:row>
      <xdr:rowOff>148442</xdr:rowOff>
    </xdr:from>
    <xdr:to>
      <xdr:col>26</xdr:col>
      <xdr:colOff>573974</xdr:colOff>
      <xdr:row>38</xdr:row>
      <xdr:rowOff>41564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A728BCD-7A42-4E04-B331-32120130D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9EE8D23019D6E39/Documents/PR.%202%20Analyzer%20(1).xlsx" TargetMode="External"/><Relationship Id="rId1" Type="http://schemas.openxmlformats.org/officeDocument/2006/relationships/externalLinkPath" Target="/F9EE8D23019D6E39/Documents/PR.%202%20Analyzer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set"/>
      <sheetName val="Dashboard"/>
    </sheetNames>
    <sheetDataSet>
      <sheetData sheetId="0">
        <row r="1">
          <cell r="E1" t="str">
            <v>Sales</v>
          </cell>
          <cell r="H1" t="str">
            <v>Order_Date</v>
          </cell>
        </row>
        <row r="2">
          <cell r="E2">
            <v>1923.66</v>
          </cell>
          <cell r="H2">
            <v>45580</v>
          </cell>
        </row>
        <row r="3">
          <cell r="E3">
            <v>1681.21</v>
          </cell>
          <cell r="H3">
            <v>45670</v>
          </cell>
        </row>
        <row r="4">
          <cell r="E4">
            <v>1622.62</v>
          </cell>
          <cell r="H4">
            <v>45677</v>
          </cell>
        </row>
        <row r="5">
          <cell r="E5">
            <v>1618.22</v>
          </cell>
          <cell r="H5">
            <v>45712</v>
          </cell>
        </row>
        <row r="6">
          <cell r="E6">
            <v>1589.42</v>
          </cell>
          <cell r="H6">
            <v>45651</v>
          </cell>
        </row>
        <row r="7">
          <cell r="E7">
            <v>1572.82</v>
          </cell>
          <cell r="H7">
            <v>45402</v>
          </cell>
        </row>
        <row r="8">
          <cell r="E8">
            <v>1526.6</v>
          </cell>
          <cell r="H8">
            <v>45512</v>
          </cell>
        </row>
        <row r="9">
          <cell r="E9">
            <v>1506.14</v>
          </cell>
          <cell r="H9">
            <v>45412</v>
          </cell>
        </row>
        <row r="10">
          <cell r="E10">
            <v>1502.93</v>
          </cell>
          <cell r="H10">
            <v>45410</v>
          </cell>
        </row>
        <row r="11">
          <cell r="E11">
            <v>1493.49</v>
          </cell>
          <cell r="H11">
            <v>45734</v>
          </cell>
        </row>
        <row r="12">
          <cell r="E12">
            <v>1488.58</v>
          </cell>
          <cell r="H12">
            <v>45640</v>
          </cell>
        </row>
        <row r="13">
          <cell r="E13">
            <v>1465.35</v>
          </cell>
          <cell r="H13">
            <v>45746</v>
          </cell>
        </row>
        <row r="14">
          <cell r="E14">
            <v>1456.94</v>
          </cell>
          <cell r="H14">
            <v>45745</v>
          </cell>
        </row>
        <row r="15">
          <cell r="E15">
            <v>1450.71</v>
          </cell>
          <cell r="H15">
            <v>45427</v>
          </cell>
        </row>
        <row r="16">
          <cell r="E16">
            <v>1443.98</v>
          </cell>
          <cell r="H16">
            <v>45547</v>
          </cell>
        </row>
        <row r="17">
          <cell r="E17">
            <v>1432.47</v>
          </cell>
          <cell r="H17">
            <v>45640</v>
          </cell>
        </row>
        <row r="18">
          <cell r="E18">
            <v>1410.59</v>
          </cell>
          <cell r="H18">
            <v>45615</v>
          </cell>
        </row>
        <row r="19">
          <cell r="E19">
            <v>1410.06</v>
          </cell>
          <cell r="H19">
            <v>45434</v>
          </cell>
        </row>
        <row r="20">
          <cell r="E20">
            <v>1383.3</v>
          </cell>
          <cell r="H20">
            <v>45478</v>
          </cell>
        </row>
        <row r="21">
          <cell r="E21">
            <v>1371.34</v>
          </cell>
          <cell r="H21">
            <v>45488</v>
          </cell>
        </row>
        <row r="22">
          <cell r="E22">
            <v>1360.36</v>
          </cell>
          <cell r="H22">
            <v>45473</v>
          </cell>
        </row>
        <row r="23">
          <cell r="E23">
            <v>1353.79</v>
          </cell>
          <cell r="H23">
            <v>45656</v>
          </cell>
        </row>
        <row r="24">
          <cell r="E24">
            <v>1350.33</v>
          </cell>
          <cell r="H24">
            <v>45615</v>
          </cell>
        </row>
        <row r="25">
          <cell r="E25">
            <v>1343.13</v>
          </cell>
          <cell r="H25">
            <v>45404</v>
          </cell>
        </row>
        <row r="26">
          <cell r="E26">
            <v>1335.87</v>
          </cell>
          <cell r="H26">
            <v>45544</v>
          </cell>
        </row>
        <row r="27">
          <cell r="E27">
            <v>1317.53</v>
          </cell>
          <cell r="H27">
            <v>45398</v>
          </cell>
        </row>
        <row r="28">
          <cell r="E28">
            <v>1311.26</v>
          </cell>
          <cell r="H28">
            <v>45698</v>
          </cell>
        </row>
        <row r="29">
          <cell r="E29">
            <v>1301.8900000000001</v>
          </cell>
          <cell r="H29">
            <v>45581</v>
          </cell>
        </row>
        <row r="30">
          <cell r="E30">
            <v>1291.47</v>
          </cell>
          <cell r="H30">
            <v>45526</v>
          </cell>
        </row>
        <row r="31">
          <cell r="E31">
            <v>1286.54</v>
          </cell>
          <cell r="H31">
            <v>45575</v>
          </cell>
        </row>
        <row r="32">
          <cell r="E32">
            <v>1277.8499999999999</v>
          </cell>
          <cell r="H32">
            <v>45613</v>
          </cell>
        </row>
        <row r="33">
          <cell r="E33">
            <v>1264.49</v>
          </cell>
          <cell r="H33">
            <v>45549</v>
          </cell>
        </row>
        <row r="34">
          <cell r="E34">
            <v>1261.3399999999999</v>
          </cell>
          <cell r="H34">
            <v>45519</v>
          </cell>
        </row>
        <row r="35">
          <cell r="E35">
            <v>1250.71</v>
          </cell>
          <cell r="H35">
            <v>45674</v>
          </cell>
        </row>
        <row r="36">
          <cell r="E36">
            <v>1249.0999999999999</v>
          </cell>
          <cell r="H36">
            <v>45597</v>
          </cell>
        </row>
        <row r="37">
          <cell r="E37">
            <v>1248.82</v>
          </cell>
          <cell r="H37">
            <v>45473</v>
          </cell>
        </row>
        <row r="38">
          <cell r="E38">
            <v>1231.26</v>
          </cell>
          <cell r="H38">
            <v>45646</v>
          </cell>
        </row>
        <row r="39">
          <cell r="E39">
            <v>1227.25</v>
          </cell>
          <cell r="H39">
            <v>45448</v>
          </cell>
        </row>
        <row r="40">
          <cell r="E40">
            <v>1226.6199999999999</v>
          </cell>
          <cell r="H40">
            <v>45463</v>
          </cell>
        </row>
        <row r="41">
          <cell r="E41">
            <v>1225.42</v>
          </cell>
          <cell r="H41">
            <v>45449</v>
          </cell>
        </row>
        <row r="42">
          <cell r="E42">
            <v>1215.26</v>
          </cell>
          <cell r="H42">
            <v>45513</v>
          </cell>
        </row>
        <row r="43">
          <cell r="E43">
            <v>1213.48</v>
          </cell>
          <cell r="H43">
            <v>45616</v>
          </cell>
        </row>
        <row r="44">
          <cell r="E44">
            <v>1205.82</v>
          </cell>
          <cell r="H44">
            <v>45559</v>
          </cell>
        </row>
        <row r="45">
          <cell r="E45">
            <v>1200.9000000000001</v>
          </cell>
          <cell r="H45">
            <v>45429</v>
          </cell>
        </row>
        <row r="46">
          <cell r="E46">
            <v>1193.6099999999999</v>
          </cell>
          <cell r="H46">
            <v>45584</v>
          </cell>
        </row>
        <row r="47">
          <cell r="E47">
            <v>1191.58</v>
          </cell>
          <cell r="H47">
            <v>45406</v>
          </cell>
        </row>
        <row r="48">
          <cell r="E48">
            <v>1189.83</v>
          </cell>
          <cell r="H48">
            <v>45709</v>
          </cell>
        </row>
        <row r="49">
          <cell r="E49">
            <v>1186.8499999999999</v>
          </cell>
          <cell r="H49">
            <v>45451</v>
          </cell>
        </row>
        <row r="50">
          <cell r="E50">
            <v>1184.25</v>
          </cell>
          <cell r="H50">
            <v>45742</v>
          </cell>
        </row>
        <row r="51">
          <cell r="E51">
            <v>1173.1199999999999</v>
          </cell>
          <cell r="H51">
            <v>45418</v>
          </cell>
        </row>
        <row r="52">
          <cell r="E52">
            <v>1172.97</v>
          </cell>
          <cell r="H52">
            <v>45559</v>
          </cell>
        </row>
        <row r="53">
          <cell r="E53">
            <v>1171.18</v>
          </cell>
          <cell r="H53">
            <v>45667</v>
          </cell>
        </row>
        <row r="54">
          <cell r="E54">
            <v>1168.8900000000001</v>
          </cell>
          <cell r="H54">
            <v>45544</v>
          </cell>
        </row>
        <row r="55">
          <cell r="E55">
            <v>1163.01</v>
          </cell>
          <cell r="H55">
            <v>45611</v>
          </cell>
        </row>
        <row r="56">
          <cell r="E56">
            <v>1161.67</v>
          </cell>
          <cell r="H56">
            <v>45647</v>
          </cell>
        </row>
        <row r="57">
          <cell r="E57">
            <v>1158.94</v>
          </cell>
          <cell r="H57">
            <v>45553</v>
          </cell>
        </row>
        <row r="58">
          <cell r="E58">
            <v>1154.33</v>
          </cell>
          <cell r="H58">
            <v>45549</v>
          </cell>
        </row>
        <row r="59">
          <cell r="E59">
            <v>1151.21</v>
          </cell>
          <cell r="H59">
            <v>45445</v>
          </cell>
        </row>
        <row r="60">
          <cell r="E60">
            <v>1150.28</v>
          </cell>
          <cell r="H60">
            <v>45622</v>
          </cell>
        </row>
        <row r="61">
          <cell r="E61">
            <v>1143.69</v>
          </cell>
          <cell r="H61">
            <v>45534</v>
          </cell>
        </row>
        <row r="62">
          <cell r="E62">
            <v>1118.3399999999999</v>
          </cell>
          <cell r="H62">
            <v>45674</v>
          </cell>
        </row>
        <row r="63">
          <cell r="E63">
            <v>1115.22</v>
          </cell>
          <cell r="H63">
            <v>45705</v>
          </cell>
        </row>
        <row r="64">
          <cell r="E64">
            <v>1111.3399999999999</v>
          </cell>
          <cell r="H64">
            <v>45523</v>
          </cell>
        </row>
        <row r="65">
          <cell r="E65">
            <v>1109.98</v>
          </cell>
          <cell r="H65">
            <v>45690</v>
          </cell>
        </row>
        <row r="66">
          <cell r="E66">
            <v>1101.55</v>
          </cell>
          <cell r="H66">
            <v>45551</v>
          </cell>
        </row>
        <row r="67">
          <cell r="E67">
            <v>1101.28</v>
          </cell>
          <cell r="H67">
            <v>45393</v>
          </cell>
        </row>
        <row r="68">
          <cell r="E68">
            <v>1100.0999999999999</v>
          </cell>
          <cell r="H68">
            <v>45482</v>
          </cell>
        </row>
        <row r="69">
          <cell r="E69">
            <v>1099.69</v>
          </cell>
          <cell r="H69">
            <v>45718</v>
          </cell>
        </row>
        <row r="70">
          <cell r="E70">
            <v>1098.08</v>
          </cell>
          <cell r="H70">
            <v>45692</v>
          </cell>
        </row>
        <row r="71">
          <cell r="E71">
            <v>1093.3800000000001</v>
          </cell>
          <cell r="H71">
            <v>45745</v>
          </cell>
        </row>
        <row r="72">
          <cell r="E72">
            <v>1086.93</v>
          </cell>
          <cell r="H72">
            <v>45464</v>
          </cell>
        </row>
        <row r="73">
          <cell r="E73">
            <v>1081.1400000000001</v>
          </cell>
          <cell r="H73">
            <v>45577</v>
          </cell>
        </row>
        <row r="74">
          <cell r="E74">
            <v>1077.92</v>
          </cell>
          <cell r="H74">
            <v>45608</v>
          </cell>
        </row>
        <row r="75">
          <cell r="E75">
            <v>1076.33</v>
          </cell>
          <cell r="H75">
            <v>45674</v>
          </cell>
        </row>
        <row r="76">
          <cell r="E76">
            <v>1074.47</v>
          </cell>
          <cell r="H76">
            <v>45401</v>
          </cell>
        </row>
        <row r="77">
          <cell r="E77">
            <v>1070.68</v>
          </cell>
          <cell r="H77">
            <v>45536</v>
          </cell>
        </row>
        <row r="78">
          <cell r="E78">
            <v>1064.19</v>
          </cell>
          <cell r="H78">
            <v>45725</v>
          </cell>
        </row>
        <row r="79">
          <cell r="E79">
            <v>1061.04</v>
          </cell>
          <cell r="H79">
            <v>45624</v>
          </cell>
        </row>
        <row r="80">
          <cell r="E80">
            <v>1054.56</v>
          </cell>
          <cell r="H80">
            <v>45669</v>
          </cell>
        </row>
        <row r="81">
          <cell r="E81">
            <v>1036.0899999999999</v>
          </cell>
          <cell r="H81">
            <v>45392</v>
          </cell>
        </row>
        <row r="82">
          <cell r="E82">
            <v>1034.7</v>
          </cell>
          <cell r="H82">
            <v>45487</v>
          </cell>
        </row>
        <row r="83">
          <cell r="E83">
            <v>1029.8</v>
          </cell>
          <cell r="H83">
            <v>45708</v>
          </cell>
        </row>
        <row r="84">
          <cell r="E84">
            <v>1025.98</v>
          </cell>
          <cell r="H84">
            <v>45447</v>
          </cell>
        </row>
        <row r="85">
          <cell r="E85">
            <v>1023.21</v>
          </cell>
          <cell r="H85">
            <v>45428</v>
          </cell>
        </row>
        <row r="86">
          <cell r="E86">
            <v>1022.23</v>
          </cell>
          <cell r="H86">
            <v>45717</v>
          </cell>
        </row>
        <row r="87">
          <cell r="E87">
            <v>1021.47</v>
          </cell>
          <cell r="H87">
            <v>45461</v>
          </cell>
        </row>
        <row r="88">
          <cell r="E88">
            <v>1020.26</v>
          </cell>
          <cell r="H88">
            <v>45494</v>
          </cell>
        </row>
        <row r="89">
          <cell r="E89">
            <v>1014.56</v>
          </cell>
          <cell r="H89">
            <v>45612</v>
          </cell>
        </row>
        <row r="90">
          <cell r="E90">
            <v>1014.43</v>
          </cell>
          <cell r="H90">
            <v>45713</v>
          </cell>
        </row>
        <row r="91">
          <cell r="E91">
            <v>1014.22</v>
          </cell>
          <cell r="H91">
            <v>45599</v>
          </cell>
        </row>
        <row r="92">
          <cell r="E92">
            <v>1014.09</v>
          </cell>
          <cell r="H92">
            <v>45567</v>
          </cell>
        </row>
        <row r="93">
          <cell r="E93">
            <v>1010.58</v>
          </cell>
          <cell r="H93">
            <v>45605</v>
          </cell>
        </row>
        <row r="94">
          <cell r="E94">
            <v>1005.53</v>
          </cell>
          <cell r="H94">
            <v>45481</v>
          </cell>
        </row>
        <row r="95">
          <cell r="E95">
            <v>1001.57</v>
          </cell>
          <cell r="H95">
            <v>45450</v>
          </cell>
        </row>
        <row r="96">
          <cell r="E96">
            <v>997.61</v>
          </cell>
          <cell r="H96">
            <v>45752</v>
          </cell>
        </row>
        <row r="97">
          <cell r="E97">
            <v>990.19</v>
          </cell>
          <cell r="H97">
            <v>45565</v>
          </cell>
        </row>
        <row r="98">
          <cell r="E98">
            <v>984.93</v>
          </cell>
          <cell r="H98">
            <v>45733</v>
          </cell>
        </row>
        <row r="99">
          <cell r="E99">
            <v>983.34</v>
          </cell>
          <cell r="H99">
            <v>45426</v>
          </cell>
        </row>
        <row r="100">
          <cell r="E100">
            <v>981.2</v>
          </cell>
          <cell r="H100">
            <v>45504</v>
          </cell>
        </row>
        <row r="101">
          <cell r="E101">
            <v>980.18</v>
          </cell>
          <cell r="H101">
            <v>45582</v>
          </cell>
        </row>
        <row r="102">
          <cell r="E102">
            <v>973.26</v>
          </cell>
          <cell r="H102">
            <v>45470</v>
          </cell>
        </row>
        <row r="103">
          <cell r="E103">
            <v>967.89</v>
          </cell>
          <cell r="H103">
            <v>45429</v>
          </cell>
        </row>
        <row r="104">
          <cell r="E104">
            <v>966.3</v>
          </cell>
          <cell r="H104">
            <v>45557</v>
          </cell>
        </row>
        <row r="105">
          <cell r="E105">
            <v>965.64</v>
          </cell>
          <cell r="H105">
            <v>45398</v>
          </cell>
        </row>
        <row r="106">
          <cell r="E106">
            <v>961.62</v>
          </cell>
          <cell r="H106">
            <v>45577</v>
          </cell>
        </row>
        <row r="107">
          <cell r="E107">
            <v>957.29</v>
          </cell>
          <cell r="H107">
            <v>45605</v>
          </cell>
        </row>
        <row r="108">
          <cell r="E108">
            <v>953.3</v>
          </cell>
          <cell r="H108">
            <v>45415</v>
          </cell>
        </row>
        <row r="109">
          <cell r="E109">
            <v>942.9</v>
          </cell>
          <cell r="H109">
            <v>45466</v>
          </cell>
        </row>
        <row r="110">
          <cell r="E110">
            <v>939.09</v>
          </cell>
          <cell r="H110">
            <v>45422</v>
          </cell>
        </row>
        <row r="111">
          <cell r="E111">
            <v>934.27</v>
          </cell>
          <cell r="H111">
            <v>45746</v>
          </cell>
        </row>
        <row r="112">
          <cell r="E112">
            <v>933.71</v>
          </cell>
          <cell r="H112">
            <v>45481</v>
          </cell>
        </row>
        <row r="113">
          <cell r="E113">
            <v>928.32</v>
          </cell>
          <cell r="H113">
            <v>45754</v>
          </cell>
        </row>
        <row r="114">
          <cell r="E114">
            <v>925.31</v>
          </cell>
          <cell r="H114">
            <v>45418</v>
          </cell>
        </row>
        <row r="115">
          <cell r="E115">
            <v>925.29</v>
          </cell>
          <cell r="H115">
            <v>45570</v>
          </cell>
        </row>
        <row r="116">
          <cell r="E116">
            <v>919.18</v>
          </cell>
          <cell r="H116">
            <v>45615</v>
          </cell>
        </row>
        <row r="117">
          <cell r="E117">
            <v>919.04</v>
          </cell>
          <cell r="H117">
            <v>45468</v>
          </cell>
        </row>
        <row r="118">
          <cell r="E118">
            <v>917.48</v>
          </cell>
          <cell r="H118">
            <v>45558</v>
          </cell>
        </row>
        <row r="119">
          <cell r="E119">
            <v>902.19</v>
          </cell>
          <cell r="H119">
            <v>45564</v>
          </cell>
        </row>
        <row r="120">
          <cell r="E120">
            <v>894.55</v>
          </cell>
          <cell r="H120">
            <v>45625</v>
          </cell>
        </row>
        <row r="121">
          <cell r="E121">
            <v>884.63</v>
          </cell>
          <cell r="H121">
            <v>45659</v>
          </cell>
        </row>
        <row r="122">
          <cell r="E122">
            <v>877.58</v>
          </cell>
          <cell r="H122">
            <v>45411</v>
          </cell>
        </row>
        <row r="123">
          <cell r="E123">
            <v>876.44</v>
          </cell>
          <cell r="H123">
            <v>45488</v>
          </cell>
        </row>
        <row r="124">
          <cell r="E124">
            <v>875.41</v>
          </cell>
          <cell r="H124">
            <v>45552</v>
          </cell>
        </row>
        <row r="125">
          <cell r="E125">
            <v>873.7</v>
          </cell>
          <cell r="H125">
            <v>45546</v>
          </cell>
        </row>
        <row r="126">
          <cell r="E126">
            <v>870.23</v>
          </cell>
          <cell r="H126">
            <v>45660</v>
          </cell>
        </row>
        <row r="127">
          <cell r="E127">
            <v>864.98</v>
          </cell>
          <cell r="H127">
            <v>45727</v>
          </cell>
        </row>
        <row r="128">
          <cell r="E128">
            <v>862.19</v>
          </cell>
          <cell r="H128">
            <v>45663</v>
          </cell>
        </row>
        <row r="129">
          <cell r="E129">
            <v>856.7</v>
          </cell>
          <cell r="H129">
            <v>45449</v>
          </cell>
        </row>
        <row r="130">
          <cell r="E130">
            <v>853.86</v>
          </cell>
          <cell r="H130">
            <v>45622</v>
          </cell>
        </row>
        <row r="131">
          <cell r="E131">
            <v>853.72</v>
          </cell>
          <cell r="H131">
            <v>45428</v>
          </cell>
        </row>
        <row r="132">
          <cell r="E132">
            <v>847</v>
          </cell>
          <cell r="H132">
            <v>45397</v>
          </cell>
        </row>
        <row r="133">
          <cell r="E133">
            <v>845.84</v>
          </cell>
          <cell r="H133">
            <v>45707</v>
          </cell>
        </row>
        <row r="134">
          <cell r="E134">
            <v>840.92</v>
          </cell>
          <cell r="H134">
            <v>45429</v>
          </cell>
        </row>
        <row r="135">
          <cell r="E135">
            <v>840.85</v>
          </cell>
          <cell r="H135">
            <v>45448</v>
          </cell>
        </row>
        <row r="136">
          <cell r="E136">
            <v>833.91</v>
          </cell>
          <cell r="H136">
            <v>45626</v>
          </cell>
        </row>
        <row r="137">
          <cell r="E137">
            <v>827.25</v>
          </cell>
          <cell r="H137">
            <v>45693</v>
          </cell>
        </row>
        <row r="138">
          <cell r="E138">
            <v>826.97</v>
          </cell>
          <cell r="H138">
            <v>45715</v>
          </cell>
        </row>
        <row r="139">
          <cell r="E139">
            <v>826.93</v>
          </cell>
          <cell r="H139">
            <v>45564</v>
          </cell>
        </row>
        <row r="140">
          <cell r="E140">
            <v>822.28</v>
          </cell>
          <cell r="H140">
            <v>45406</v>
          </cell>
        </row>
        <row r="141">
          <cell r="E141">
            <v>820.19</v>
          </cell>
          <cell r="H141">
            <v>45630</v>
          </cell>
        </row>
        <row r="142">
          <cell r="E142">
            <v>818.8</v>
          </cell>
          <cell r="H142">
            <v>45468</v>
          </cell>
        </row>
        <row r="143">
          <cell r="E143">
            <v>806.03</v>
          </cell>
          <cell r="H143">
            <v>45638</v>
          </cell>
        </row>
        <row r="144">
          <cell r="E144">
            <v>804.81</v>
          </cell>
          <cell r="H144">
            <v>45502</v>
          </cell>
        </row>
        <row r="145">
          <cell r="E145">
            <v>804.45</v>
          </cell>
          <cell r="H145">
            <v>45509</v>
          </cell>
        </row>
        <row r="146">
          <cell r="E146">
            <v>801.21</v>
          </cell>
          <cell r="H146">
            <v>45426</v>
          </cell>
        </row>
        <row r="147">
          <cell r="E147">
            <v>790.08</v>
          </cell>
          <cell r="H147">
            <v>45536</v>
          </cell>
        </row>
        <row r="148">
          <cell r="E148">
            <v>775.45</v>
          </cell>
          <cell r="H148">
            <v>45457</v>
          </cell>
        </row>
        <row r="149">
          <cell r="E149">
            <v>773.09</v>
          </cell>
          <cell r="H149">
            <v>45434</v>
          </cell>
        </row>
        <row r="150">
          <cell r="E150">
            <v>771.02</v>
          </cell>
          <cell r="H150">
            <v>45585</v>
          </cell>
        </row>
        <row r="151">
          <cell r="E151">
            <v>762.14</v>
          </cell>
          <cell r="H151">
            <v>45743</v>
          </cell>
        </row>
        <row r="152">
          <cell r="E152">
            <v>760.93</v>
          </cell>
          <cell r="H152">
            <v>45396</v>
          </cell>
        </row>
        <row r="153">
          <cell r="E153">
            <v>750.71</v>
          </cell>
          <cell r="H153">
            <v>45743</v>
          </cell>
        </row>
        <row r="154">
          <cell r="E154">
            <v>745.05</v>
          </cell>
          <cell r="H154">
            <v>45660</v>
          </cell>
        </row>
        <row r="155">
          <cell r="E155">
            <v>743.17</v>
          </cell>
          <cell r="H155">
            <v>45416</v>
          </cell>
        </row>
        <row r="156">
          <cell r="E156">
            <v>741.88</v>
          </cell>
          <cell r="H156">
            <v>45695</v>
          </cell>
        </row>
        <row r="157">
          <cell r="E157">
            <v>741.61</v>
          </cell>
          <cell r="H157">
            <v>45471</v>
          </cell>
        </row>
        <row r="158">
          <cell r="E158">
            <v>740.8</v>
          </cell>
          <cell r="H158">
            <v>45749</v>
          </cell>
        </row>
        <row r="159">
          <cell r="E159">
            <v>737.31</v>
          </cell>
          <cell r="H159">
            <v>45401</v>
          </cell>
        </row>
        <row r="160">
          <cell r="E160">
            <v>728.71</v>
          </cell>
          <cell r="H160">
            <v>45581</v>
          </cell>
        </row>
        <row r="161">
          <cell r="E161">
            <v>727.73</v>
          </cell>
          <cell r="H161">
            <v>45552</v>
          </cell>
        </row>
        <row r="162">
          <cell r="E162">
            <v>718.04</v>
          </cell>
          <cell r="H162">
            <v>45613</v>
          </cell>
        </row>
        <row r="163">
          <cell r="E163">
            <v>713.34</v>
          </cell>
          <cell r="H163">
            <v>45396</v>
          </cell>
        </row>
        <row r="164">
          <cell r="E164">
            <v>710.52</v>
          </cell>
          <cell r="H164">
            <v>45721</v>
          </cell>
        </row>
        <row r="165">
          <cell r="E165">
            <v>706.73</v>
          </cell>
          <cell r="H165">
            <v>45613</v>
          </cell>
        </row>
        <row r="166">
          <cell r="E166">
            <v>706.37</v>
          </cell>
          <cell r="H166">
            <v>45416</v>
          </cell>
        </row>
        <row r="167">
          <cell r="E167">
            <v>704.28</v>
          </cell>
          <cell r="H167">
            <v>45712</v>
          </cell>
        </row>
        <row r="168">
          <cell r="E168">
            <v>697.57</v>
          </cell>
          <cell r="H168">
            <v>45584</v>
          </cell>
        </row>
        <row r="169">
          <cell r="E169">
            <v>689.43</v>
          </cell>
          <cell r="H169">
            <v>45736</v>
          </cell>
        </row>
        <row r="170">
          <cell r="E170">
            <v>688.83</v>
          </cell>
          <cell r="H170">
            <v>45595</v>
          </cell>
        </row>
        <row r="171">
          <cell r="E171">
            <v>682.24</v>
          </cell>
          <cell r="H171">
            <v>45738</v>
          </cell>
        </row>
        <row r="172">
          <cell r="E172">
            <v>679.71</v>
          </cell>
          <cell r="H172">
            <v>45534</v>
          </cell>
        </row>
        <row r="173">
          <cell r="E173">
            <v>675.54</v>
          </cell>
          <cell r="H173">
            <v>45420</v>
          </cell>
        </row>
        <row r="174">
          <cell r="E174">
            <v>662.61</v>
          </cell>
          <cell r="H174">
            <v>45658</v>
          </cell>
        </row>
        <row r="175">
          <cell r="E175">
            <v>661.09</v>
          </cell>
          <cell r="H175">
            <v>45593</v>
          </cell>
        </row>
        <row r="176">
          <cell r="E176">
            <v>645.02</v>
          </cell>
          <cell r="H176">
            <v>45414</v>
          </cell>
        </row>
        <row r="177">
          <cell r="E177">
            <v>640.64</v>
          </cell>
          <cell r="H177">
            <v>45678</v>
          </cell>
        </row>
        <row r="178">
          <cell r="E178">
            <v>636.70000000000005</v>
          </cell>
          <cell r="H178">
            <v>45411</v>
          </cell>
        </row>
        <row r="179">
          <cell r="E179">
            <v>608.66</v>
          </cell>
          <cell r="H179">
            <v>45503</v>
          </cell>
        </row>
        <row r="180">
          <cell r="E180">
            <v>585.97</v>
          </cell>
          <cell r="H180">
            <v>45565</v>
          </cell>
        </row>
        <row r="181">
          <cell r="E181">
            <v>585.16</v>
          </cell>
          <cell r="H181">
            <v>45684</v>
          </cell>
        </row>
        <row r="182">
          <cell r="E182">
            <v>580.42999999999995</v>
          </cell>
          <cell r="H182">
            <v>45435</v>
          </cell>
        </row>
        <row r="183">
          <cell r="E183">
            <v>573.32000000000005</v>
          </cell>
          <cell r="H183">
            <v>45703</v>
          </cell>
        </row>
        <row r="184">
          <cell r="E184">
            <v>556.41999999999996</v>
          </cell>
          <cell r="H184">
            <v>45447</v>
          </cell>
        </row>
        <row r="185">
          <cell r="E185">
            <v>545.44000000000005</v>
          </cell>
          <cell r="H185">
            <v>45752</v>
          </cell>
        </row>
        <row r="186">
          <cell r="E186">
            <v>539.77</v>
          </cell>
          <cell r="H186">
            <v>45509</v>
          </cell>
        </row>
        <row r="187">
          <cell r="E187">
            <v>521.66999999999996</v>
          </cell>
          <cell r="H187">
            <v>45409</v>
          </cell>
        </row>
        <row r="188">
          <cell r="E188">
            <v>518.07000000000005</v>
          </cell>
          <cell r="H188">
            <v>45522</v>
          </cell>
        </row>
        <row r="189">
          <cell r="E189">
            <v>511.74</v>
          </cell>
          <cell r="H189">
            <v>45631</v>
          </cell>
        </row>
        <row r="190">
          <cell r="E190">
            <v>501.54</v>
          </cell>
          <cell r="H190">
            <v>45401</v>
          </cell>
        </row>
        <row r="191">
          <cell r="E191">
            <v>499.18</v>
          </cell>
          <cell r="H191">
            <v>45724</v>
          </cell>
        </row>
        <row r="192">
          <cell r="E192">
            <v>488.99</v>
          </cell>
          <cell r="H192">
            <v>45479</v>
          </cell>
        </row>
        <row r="193">
          <cell r="E193">
            <v>472.38</v>
          </cell>
          <cell r="H193">
            <v>45429</v>
          </cell>
        </row>
        <row r="194">
          <cell r="E194">
            <v>458.54</v>
          </cell>
          <cell r="H194">
            <v>45741</v>
          </cell>
        </row>
        <row r="195">
          <cell r="E195">
            <v>438.76</v>
          </cell>
          <cell r="H195">
            <v>45726</v>
          </cell>
        </row>
        <row r="196">
          <cell r="E196">
            <v>388.56</v>
          </cell>
          <cell r="H196">
            <v>45416</v>
          </cell>
        </row>
        <row r="197">
          <cell r="E197">
            <v>388.23</v>
          </cell>
          <cell r="H197">
            <v>45650</v>
          </cell>
        </row>
        <row r="198">
          <cell r="E198">
            <v>379.77</v>
          </cell>
          <cell r="H198">
            <v>45673</v>
          </cell>
        </row>
        <row r="199">
          <cell r="E199">
            <v>336.66</v>
          </cell>
          <cell r="H199">
            <v>45651</v>
          </cell>
        </row>
        <row r="200">
          <cell r="E200">
            <v>309.42</v>
          </cell>
          <cell r="H200">
            <v>45658</v>
          </cell>
        </row>
        <row r="201">
          <cell r="E201">
            <v>258.51</v>
          </cell>
          <cell r="H201">
            <v>45616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84.811769328706" createdVersion="8" refreshedVersion="8" minRefreshableVersion="3" recordCount="200" xr:uid="{A086A772-5A26-4C3B-B70E-0C225563AB7F}">
  <cacheSource type="worksheet">
    <worksheetSource name="Table2"/>
  </cacheSource>
  <cacheFields count="13">
    <cacheField name="Customer_ID" numFmtId="0">
      <sharedItems/>
    </cacheField>
    <cacheField name="Customer_Name" numFmtId="0">
      <sharedItems/>
    </cacheField>
    <cacheField name="Region" numFmtId="0">
      <sharedItems count="5">
        <s v="West"/>
        <s v="North"/>
        <s v="Central"/>
        <s v="South"/>
        <s v="East"/>
      </sharedItems>
    </cacheField>
    <cacheField name="Product_Category" numFmtId="0">
      <sharedItems count="5">
        <s v="Clothing"/>
        <s v="Electronics"/>
        <s v="Office Supplies"/>
        <s v="Books"/>
        <s v="Furniture"/>
      </sharedItems>
    </cacheField>
    <cacheField name="Sales" numFmtId="0">
      <sharedItems containsSemiMixedTypes="0" containsString="0" containsNumber="1" minValue="258.51" maxValue="1923.66"/>
    </cacheField>
    <cacheField name="Quantity" numFmtId="0">
      <sharedItems containsSemiMixedTypes="0" containsString="0" containsNumber="1" containsInteger="1" minValue="1" maxValue="19"/>
    </cacheField>
    <cacheField name="Discount" numFmtId="0">
      <sharedItems containsSemiMixedTypes="0" containsString="0" containsNumber="1" minValue="0" maxValue="0.2"/>
    </cacheField>
    <cacheField name="Order_Date" numFmtId="164">
      <sharedItems containsSemiMixedTypes="0" containsNonDate="0" containsDate="1" containsString="0" minDate="2024-04-10T00:00:00" maxDate="2025-04-08T00:00:00" count="148">
        <d v="2024-10-15T00:00:00"/>
        <d v="2025-01-13T00:00:00"/>
        <d v="2025-01-20T00:00:00"/>
        <d v="2025-02-24T00:00:00"/>
        <d v="2024-12-25T00:00:00"/>
        <d v="2024-04-20T00:00:00"/>
        <d v="2024-08-08T00:00:00"/>
        <d v="2024-04-30T00:00:00"/>
        <d v="2024-04-28T00:00:00"/>
        <d v="2025-03-18T00:00:00"/>
        <d v="2024-12-14T00:00:00"/>
        <d v="2025-03-30T00:00:00"/>
        <d v="2025-03-29T00:00:00"/>
        <d v="2024-05-15T00:00:00"/>
        <d v="2024-09-12T00:00:00"/>
        <d v="2024-11-19T00:00:00"/>
        <d v="2024-05-22T00:00:00"/>
        <d v="2024-07-05T00:00:00"/>
        <d v="2024-07-15T00:00:00"/>
        <d v="2024-06-30T00:00:00"/>
        <d v="2024-12-30T00:00:00"/>
        <d v="2024-04-22T00:00:00"/>
        <d v="2024-09-09T00:00:00"/>
        <d v="2024-04-16T00:00:00"/>
        <d v="2025-02-10T00:00:00"/>
        <d v="2024-10-16T00:00:00"/>
        <d v="2024-08-22T00:00:00"/>
        <d v="2024-10-10T00:00:00"/>
        <d v="2024-11-17T00:00:00"/>
        <d v="2024-09-14T00:00:00"/>
        <d v="2024-08-15T00:00:00"/>
        <d v="2025-01-17T00:00:00"/>
        <d v="2024-11-01T00:00:00"/>
        <d v="2024-12-20T00:00:00"/>
        <d v="2024-06-05T00:00:00"/>
        <d v="2024-06-20T00:00:00"/>
        <d v="2024-06-06T00:00:00"/>
        <d v="2024-08-09T00:00:00"/>
        <d v="2024-11-20T00:00:00"/>
        <d v="2024-09-24T00:00:00"/>
        <d v="2024-05-17T00:00:00"/>
        <d v="2024-10-19T00:00:00"/>
        <d v="2024-04-24T00:00:00"/>
        <d v="2025-02-21T00:00:00"/>
        <d v="2024-06-08T00:00:00"/>
        <d v="2025-03-26T00:00:00"/>
        <d v="2024-05-06T00:00:00"/>
        <d v="2025-01-10T00:00:00"/>
        <d v="2024-11-15T00:00:00"/>
        <d v="2024-12-21T00:00:00"/>
        <d v="2024-09-18T00:00:00"/>
        <d v="2024-06-02T00:00:00"/>
        <d v="2024-11-26T00:00:00"/>
        <d v="2024-08-30T00:00:00"/>
        <d v="2025-02-17T00:00:00"/>
        <d v="2024-08-19T00:00:00"/>
        <d v="2025-02-02T00:00:00"/>
        <d v="2024-09-16T00:00:00"/>
        <d v="2024-04-11T00:00:00"/>
        <d v="2024-07-09T00:00:00"/>
        <d v="2025-03-02T00:00:00"/>
        <d v="2025-02-04T00:00:00"/>
        <d v="2024-06-21T00:00:00"/>
        <d v="2024-10-12T00:00:00"/>
        <d v="2024-11-12T00:00:00"/>
        <d v="2024-04-19T00:00:00"/>
        <d v="2024-09-01T00:00:00"/>
        <d v="2025-03-09T00:00:00"/>
        <d v="2024-11-28T00:00:00"/>
        <d v="2025-01-12T00:00:00"/>
        <d v="2024-04-10T00:00:00"/>
        <d v="2024-07-14T00:00:00"/>
        <d v="2025-02-20T00:00:00"/>
        <d v="2024-06-04T00:00:00"/>
        <d v="2024-05-16T00:00:00"/>
        <d v="2025-03-01T00:00:00"/>
        <d v="2024-06-18T00:00:00"/>
        <d v="2024-07-21T00:00:00"/>
        <d v="2024-11-16T00:00:00"/>
        <d v="2025-02-25T00:00:00"/>
        <d v="2024-11-03T00:00:00"/>
        <d v="2024-10-02T00:00:00"/>
        <d v="2024-11-09T00:00:00"/>
        <d v="2024-07-08T00:00:00"/>
        <d v="2024-06-07T00:00:00"/>
        <d v="2025-04-05T00:00:00"/>
        <d v="2024-09-30T00:00:00"/>
        <d v="2025-03-17T00:00:00"/>
        <d v="2024-05-14T00:00:00"/>
        <d v="2024-07-31T00:00:00"/>
        <d v="2024-10-17T00:00:00"/>
        <d v="2024-06-27T00:00:00"/>
        <d v="2024-09-22T00:00:00"/>
        <d v="2024-05-03T00:00:00"/>
        <d v="2024-06-23T00:00:00"/>
        <d v="2024-05-10T00:00:00"/>
        <d v="2025-04-07T00:00:00"/>
        <d v="2024-10-05T00:00:00"/>
        <d v="2024-06-25T00:00:00"/>
        <d v="2024-09-23T00:00:00"/>
        <d v="2024-09-29T00:00:00"/>
        <d v="2024-11-29T00:00:00"/>
        <d v="2025-01-02T00:00:00"/>
        <d v="2024-04-29T00:00:00"/>
        <d v="2024-09-17T00:00:00"/>
        <d v="2024-09-11T00:00:00"/>
        <d v="2025-01-03T00:00:00"/>
        <d v="2025-03-11T00:00:00"/>
        <d v="2025-01-06T00:00:00"/>
        <d v="2024-04-15T00:00:00"/>
        <d v="2025-02-19T00:00:00"/>
        <d v="2024-11-30T00:00:00"/>
        <d v="2025-02-05T00:00:00"/>
        <d v="2025-02-27T00:00:00"/>
        <d v="2024-12-04T00:00:00"/>
        <d v="2024-12-12T00:00:00"/>
        <d v="2024-07-29T00:00:00"/>
        <d v="2024-08-05T00:00:00"/>
        <d v="2024-06-14T00:00:00"/>
        <d v="2024-10-20T00:00:00"/>
        <d v="2025-03-27T00:00:00"/>
        <d v="2024-04-14T00:00:00"/>
        <d v="2024-05-04T00:00:00"/>
        <d v="2025-02-07T00:00:00"/>
        <d v="2024-06-28T00:00:00"/>
        <d v="2025-04-02T00:00:00"/>
        <d v="2025-03-05T00:00:00"/>
        <d v="2025-03-20T00:00:00"/>
        <d v="2024-10-30T00:00:00"/>
        <d v="2025-03-22T00:00:00"/>
        <d v="2024-05-08T00:00:00"/>
        <d v="2025-01-01T00:00:00"/>
        <d v="2024-10-28T00:00:00"/>
        <d v="2024-05-02T00:00:00"/>
        <d v="2025-01-21T00:00:00"/>
        <d v="2024-07-30T00:00:00"/>
        <d v="2025-01-27T00:00:00"/>
        <d v="2024-05-23T00:00:00"/>
        <d v="2025-02-15T00:00:00"/>
        <d v="2024-04-27T00:00:00"/>
        <d v="2024-08-18T00:00:00"/>
        <d v="2024-12-05T00:00:00"/>
        <d v="2025-03-08T00:00:00"/>
        <d v="2024-07-06T00:00:00"/>
        <d v="2025-03-25T00:00:00"/>
        <d v="2025-03-10T00:00:00"/>
        <d v="2024-12-24T00:00:00"/>
        <d v="2025-01-16T00:00:00"/>
      </sharedItems>
      <fieldGroup par="12"/>
    </cacheField>
    <cacheField name="Profit" numFmtId="0">
      <sharedItems containsSemiMixedTypes="0" containsString="0" containsNumber="1" minValue="64.63" maxValue="769.46"/>
    </cacheField>
    <cacheField name="Time Stamp" numFmtId="22">
      <sharedItems containsSemiMixedTypes="0" containsNonDate="0" containsDate="1" containsString="0" minDate="2025-11-23T19:22:57" maxDate="2025-11-23T19:22:57"/>
    </cacheField>
    <cacheField name="Months (Order_Date)" numFmtId="0" databaseField="0">
      <fieldGroup base="7">
        <rangePr groupBy="months" startDate="2024-04-10T00:00:00" endDate="2025-04-08T00:00:00"/>
        <groupItems count="14">
          <s v="&lt;10/04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8/04/2025"/>
        </groupItems>
      </fieldGroup>
    </cacheField>
    <cacheField name="Quarters (Order_Date)" numFmtId="0" databaseField="0">
      <fieldGroup base="7">
        <rangePr groupBy="quarters" startDate="2024-04-10T00:00:00" endDate="2025-04-08T00:00:00"/>
        <groupItems count="6">
          <s v="&lt;10/04/2024"/>
          <s v="Qtr1"/>
          <s v="Qtr2"/>
          <s v="Qtr3"/>
          <s v="Qtr4"/>
          <s v="&gt;08/04/2025"/>
        </groupItems>
      </fieldGroup>
    </cacheField>
    <cacheField name="Years (Order_Date)" numFmtId="0" databaseField="0">
      <fieldGroup base="7">
        <rangePr groupBy="years" startDate="2024-04-10T00:00:00" endDate="2025-04-08T00:00:00"/>
        <groupItems count="4">
          <s v="&lt;10/04/2024"/>
          <s v="2024"/>
          <s v="2025"/>
          <s v="&gt;08/04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84.861265740743" createdVersion="8" refreshedVersion="8" minRefreshableVersion="3" recordCount="12" xr:uid="{45A0C243-200F-4474-873B-87749E9D2636}">
  <cacheSource type="worksheet">
    <worksheetSource ref="S25:U37" sheet="Project 2"/>
  </cacheSource>
  <cacheFields count="6">
    <cacheField name="Month" numFmtId="17">
      <sharedItems containsSemiMixedTypes="0" containsNonDate="0" containsDate="1" containsString="0" minDate="2024-04-01T00:00:00" maxDate="2025-03-02T00:00:00" count="12">
        <d v="2025-01-01T00:00:00"/>
        <d v="2025-02-01T00:00:00"/>
        <d v="2025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  <fieldGroup par="5"/>
    </cacheField>
    <cacheField name="Total Sales" numFmtId="0">
      <sharedItems containsSemiMixedTypes="0" containsString="0" containsNumber="1" minValue="10091.700000000001" maxValue="20533.500000000004"/>
    </cacheField>
    <cacheField name="Growth % " numFmtId="0">
      <sharedItems containsSemiMixedTypes="0" containsString="0" containsNumber="1" minValue="-1" maxValue="1.0346918755016501"/>
    </cacheField>
    <cacheField name="Months (Month)" numFmtId="0" databaseField="0">
      <fieldGroup base="0">
        <rangePr groupBy="months" startDate="2024-04-01T00:00:00" endDate="2025-03-02T00:00:00"/>
        <groupItems count="14">
          <s v="&lt;01/04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3/2025"/>
        </groupItems>
      </fieldGroup>
    </cacheField>
    <cacheField name="Quarters (Month)" numFmtId="0" databaseField="0">
      <fieldGroup base="0">
        <rangePr groupBy="quarters" startDate="2024-04-01T00:00:00" endDate="2025-03-02T00:00:00"/>
        <groupItems count="6">
          <s v="&lt;01/04/2024"/>
          <s v="Qtr1"/>
          <s v="Qtr2"/>
          <s v="Qtr3"/>
          <s v="Qtr4"/>
          <s v="&gt;02/03/2025"/>
        </groupItems>
      </fieldGroup>
    </cacheField>
    <cacheField name="Years (Month)" numFmtId="0" databaseField="0">
      <fieldGroup base="0">
        <rangePr groupBy="years" startDate="2024-04-01T00:00:00" endDate="2025-03-02T00:00:00"/>
        <groupItems count="4">
          <s v="&lt;01/04/2024"/>
          <s v="2024"/>
          <s v="2025"/>
          <s v="&gt;02/03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CUST015"/>
    <s v="James Wilson"/>
    <x v="0"/>
    <x v="0"/>
    <n v="1923.66"/>
    <n v="9"/>
    <n v="0.2"/>
    <x v="0"/>
    <n v="769.46"/>
    <d v="2025-11-23T19:22:57"/>
  </r>
  <r>
    <s v="CUST015"/>
    <s v="James Wilson"/>
    <x v="1"/>
    <x v="1"/>
    <n v="1681.21"/>
    <n v="5"/>
    <n v="0.2"/>
    <x v="1"/>
    <n v="336.24"/>
    <d v="2025-11-23T19:22:57"/>
  </r>
  <r>
    <s v="CUST024"/>
    <s v="Linda Taylor"/>
    <x v="1"/>
    <x v="0"/>
    <n v="1622.62"/>
    <n v="12"/>
    <n v="0.2"/>
    <x v="2"/>
    <n v="649.04999999999995"/>
    <d v="2025-11-23T19:22:57"/>
  </r>
  <r>
    <s v="CUST002"/>
    <s v="Mary Jackson"/>
    <x v="2"/>
    <x v="2"/>
    <n v="1618.22"/>
    <n v="12"/>
    <n v="0.2"/>
    <x v="3"/>
    <n v="582.55999999999995"/>
    <d v="2025-11-23T19:22:57"/>
  </r>
  <r>
    <s v="CUST004"/>
    <s v="Mary Davis"/>
    <x v="1"/>
    <x v="0"/>
    <n v="1589.42"/>
    <n v="6"/>
    <n v="0.15"/>
    <x v="4"/>
    <n v="675.5"/>
    <d v="2025-11-23T19:22:57"/>
  </r>
  <r>
    <s v="CUST014"/>
    <s v="Emma Davis"/>
    <x v="0"/>
    <x v="2"/>
    <n v="1572.82"/>
    <n v="6"/>
    <n v="0.05"/>
    <x v="5"/>
    <n v="672.38"/>
    <d v="2025-11-23T19:22:57"/>
  </r>
  <r>
    <s v="CUST024"/>
    <s v="Emma Davis"/>
    <x v="0"/>
    <x v="1"/>
    <n v="1526.6"/>
    <n v="13"/>
    <n v="0.2"/>
    <x v="6"/>
    <n v="305.32"/>
    <d v="2025-11-23T19:22:57"/>
  </r>
  <r>
    <s v="CUST006"/>
    <s v="Mary Jackson"/>
    <x v="0"/>
    <x v="3"/>
    <n v="1506.14"/>
    <n v="13"/>
    <n v="0.2"/>
    <x v="7"/>
    <n v="481.96"/>
    <d v="2025-11-23T19:22:57"/>
  </r>
  <r>
    <s v="CUST005"/>
    <s v="Sarah Anderson"/>
    <x v="3"/>
    <x v="1"/>
    <n v="1502.93"/>
    <n v="14"/>
    <n v="0.2"/>
    <x v="8"/>
    <n v="300.58999999999997"/>
    <d v="2025-11-23T19:22:57"/>
  </r>
  <r>
    <s v="CUST007"/>
    <s v="David Brown"/>
    <x v="0"/>
    <x v="0"/>
    <n v="1493.49"/>
    <n v="18"/>
    <n v="0"/>
    <x v="9"/>
    <n v="746.74"/>
    <d v="2025-11-23T19:22:57"/>
  </r>
  <r>
    <s v="CUST027"/>
    <s v="Linda Wilson"/>
    <x v="2"/>
    <x v="1"/>
    <n v="1488.58"/>
    <n v="10"/>
    <n v="0.15"/>
    <x v="10"/>
    <n v="316.32"/>
    <d v="2025-11-23T19:22:57"/>
  </r>
  <r>
    <s v="CUST024"/>
    <s v="David Thomas"/>
    <x v="2"/>
    <x v="0"/>
    <n v="1465.35"/>
    <n v="8"/>
    <n v="0.2"/>
    <x v="11"/>
    <n v="586.14"/>
    <d v="2025-11-23T19:22:57"/>
  </r>
  <r>
    <s v="CUST018"/>
    <s v="David Anderson"/>
    <x v="2"/>
    <x v="0"/>
    <n v="1456.94"/>
    <n v="14"/>
    <n v="0.05"/>
    <x v="12"/>
    <n v="692.05"/>
    <d v="2025-11-23T19:22:57"/>
  </r>
  <r>
    <s v="CUST025"/>
    <s v="David Brown"/>
    <x v="1"/>
    <x v="1"/>
    <n v="1450.71"/>
    <n v="5"/>
    <n v="0.1"/>
    <x v="13"/>
    <n v="326.41000000000003"/>
    <d v="2025-11-23T19:22:57"/>
  </r>
  <r>
    <s v="CUST004"/>
    <s v="Sarah Davis"/>
    <x v="0"/>
    <x v="2"/>
    <n v="1443.98"/>
    <n v="19"/>
    <n v="0"/>
    <x v="14"/>
    <n v="649.79"/>
    <d v="2025-11-23T19:22:57"/>
  </r>
  <r>
    <s v="CUST001"/>
    <s v="Michael Anderson"/>
    <x v="2"/>
    <x v="4"/>
    <n v="1432.47"/>
    <n v="16"/>
    <n v="0.15"/>
    <x v="10"/>
    <n v="426.16"/>
    <d v="2025-11-23T19:22:57"/>
  </r>
  <r>
    <s v="CUST002"/>
    <s v="Linda Brown"/>
    <x v="4"/>
    <x v="1"/>
    <n v="1410.59"/>
    <n v="15"/>
    <n v="0"/>
    <x v="15"/>
    <n v="352.65"/>
    <d v="2025-11-23T19:22:57"/>
  </r>
  <r>
    <s v="CUST028"/>
    <s v="Lisa Davis"/>
    <x v="2"/>
    <x v="4"/>
    <n v="1410.06"/>
    <n v="11"/>
    <n v="0.05"/>
    <x v="16"/>
    <n v="468.84"/>
    <d v="2025-11-23T19:22:57"/>
  </r>
  <r>
    <s v="CUST021"/>
    <s v="Mary Davis"/>
    <x v="4"/>
    <x v="3"/>
    <n v="1383.3"/>
    <n v="8"/>
    <n v="0.1"/>
    <x v="17"/>
    <n v="497.99"/>
    <d v="2025-11-23T19:22:57"/>
  </r>
  <r>
    <s v="CUST020"/>
    <s v="David Brown"/>
    <x v="0"/>
    <x v="4"/>
    <n v="1371.34"/>
    <n v="5"/>
    <n v="0.05"/>
    <x v="18"/>
    <n v="455.97"/>
    <d v="2025-11-23T19:22:57"/>
  </r>
  <r>
    <s v="CUST012"/>
    <s v="Mary Wilson"/>
    <x v="0"/>
    <x v="0"/>
    <n v="1360.36"/>
    <n v="17"/>
    <n v="0"/>
    <x v="19"/>
    <n v="680.18"/>
    <d v="2025-11-23T19:22:57"/>
  </r>
  <r>
    <s v="CUST022"/>
    <s v="James Wilson"/>
    <x v="0"/>
    <x v="3"/>
    <n v="1353.79"/>
    <n v="14"/>
    <n v="0.1"/>
    <x v="20"/>
    <n v="487.36"/>
    <d v="2025-11-23T19:22:57"/>
  </r>
  <r>
    <s v="CUST009"/>
    <s v="Emma Wilson"/>
    <x v="3"/>
    <x v="4"/>
    <n v="1350.33"/>
    <n v="10"/>
    <n v="0"/>
    <x v="15"/>
    <n v="472.62"/>
    <d v="2025-11-23T19:22:57"/>
  </r>
  <r>
    <s v="CUST014"/>
    <s v="David Thomas"/>
    <x v="2"/>
    <x v="3"/>
    <n v="1343.13"/>
    <n v="14"/>
    <n v="0.15"/>
    <x v="21"/>
    <n v="456.66"/>
    <d v="2025-11-23T19:22:57"/>
  </r>
  <r>
    <s v="CUST003"/>
    <s v="James Davis"/>
    <x v="3"/>
    <x v="1"/>
    <n v="1335.87"/>
    <n v="17"/>
    <n v="0"/>
    <x v="22"/>
    <n v="333.97"/>
    <d v="2025-11-23T19:22:57"/>
  </r>
  <r>
    <s v="CUST001"/>
    <s v="Linda Wilson"/>
    <x v="0"/>
    <x v="1"/>
    <n v="1317.53"/>
    <n v="12"/>
    <n v="0.05"/>
    <x v="23"/>
    <n v="312.91000000000003"/>
    <d v="2025-11-23T19:22:57"/>
  </r>
  <r>
    <s v="CUST004"/>
    <s v="James Davis"/>
    <x v="4"/>
    <x v="2"/>
    <n v="1311.26"/>
    <n v="6"/>
    <n v="0.1"/>
    <x v="24"/>
    <n v="531.05999999999995"/>
    <d v="2025-11-23T19:22:57"/>
  </r>
  <r>
    <s v="CUST019"/>
    <s v="Linda Jackson"/>
    <x v="2"/>
    <x v="0"/>
    <n v="1301.8900000000001"/>
    <n v="7"/>
    <n v="0.15"/>
    <x v="25"/>
    <n v="553.29999999999995"/>
    <d v="2025-11-23T19:22:57"/>
  </r>
  <r>
    <s v="CUST030"/>
    <s v="Mary Davis"/>
    <x v="4"/>
    <x v="0"/>
    <n v="1291.47"/>
    <n v="18"/>
    <n v="0.1"/>
    <x v="26"/>
    <n v="581.16"/>
    <d v="2025-11-23T19:22:57"/>
  </r>
  <r>
    <s v="CUST025"/>
    <s v="Mary Jackson"/>
    <x v="4"/>
    <x v="4"/>
    <n v="1286.54"/>
    <n v="8"/>
    <n v="0"/>
    <x v="27"/>
    <n v="450.29"/>
    <d v="2025-11-23T19:22:57"/>
  </r>
  <r>
    <s v="CUST004"/>
    <s v="James Taylor"/>
    <x v="2"/>
    <x v="0"/>
    <n v="1277.8499999999999"/>
    <n v="18"/>
    <n v="0.2"/>
    <x v="28"/>
    <n v="511.14"/>
    <d v="2025-11-23T19:22:57"/>
  </r>
  <r>
    <s v="CUST022"/>
    <s v="Linda Brown"/>
    <x v="3"/>
    <x v="3"/>
    <n v="1264.49"/>
    <n v="16"/>
    <n v="0.05"/>
    <x v="29"/>
    <n v="480.51"/>
    <d v="2025-11-23T19:22:57"/>
  </r>
  <r>
    <s v="CUST005"/>
    <s v="Linda Taylor"/>
    <x v="2"/>
    <x v="4"/>
    <n v="1261.3399999999999"/>
    <n v="3"/>
    <n v="0"/>
    <x v="30"/>
    <n v="441.47"/>
    <d v="2025-11-23T19:22:57"/>
  </r>
  <r>
    <s v="CUST008"/>
    <s v="Mary Davis"/>
    <x v="2"/>
    <x v="2"/>
    <n v="1250.71"/>
    <n v="7"/>
    <n v="0"/>
    <x v="31"/>
    <n v="562.82000000000005"/>
    <d v="2025-11-23T19:22:57"/>
  </r>
  <r>
    <s v="CUST013"/>
    <s v="Linda Wilson"/>
    <x v="2"/>
    <x v="3"/>
    <n v="1249.0999999999999"/>
    <n v="4"/>
    <n v="0.05"/>
    <x v="32"/>
    <n v="474.66"/>
    <d v="2025-11-23T19:22:57"/>
  </r>
  <r>
    <s v="CUST003"/>
    <s v="Emma Davis"/>
    <x v="1"/>
    <x v="3"/>
    <n v="1248.82"/>
    <n v="2"/>
    <n v="0.1"/>
    <x v="19"/>
    <n v="449.58"/>
    <d v="2025-11-23T19:22:57"/>
  </r>
  <r>
    <s v="CUST026"/>
    <s v="Emma Taylor"/>
    <x v="4"/>
    <x v="3"/>
    <n v="1231.26"/>
    <n v="9"/>
    <n v="0"/>
    <x v="33"/>
    <n v="492.5"/>
    <d v="2025-11-23T19:22:57"/>
  </r>
  <r>
    <s v="CUST026"/>
    <s v="Emma Wilson"/>
    <x v="1"/>
    <x v="4"/>
    <n v="1227.25"/>
    <n v="12"/>
    <n v="0.15"/>
    <x v="34"/>
    <n v="365.11"/>
    <d v="2025-11-23T19:22:57"/>
  </r>
  <r>
    <s v="CUST015"/>
    <s v="James Wilson"/>
    <x v="3"/>
    <x v="0"/>
    <n v="1226.6199999999999"/>
    <n v="7"/>
    <n v="0.1"/>
    <x v="35"/>
    <n v="551.98"/>
    <d v="2025-11-23T19:22:57"/>
  </r>
  <r>
    <s v="CUST025"/>
    <s v="David Davis"/>
    <x v="2"/>
    <x v="2"/>
    <n v="1225.42"/>
    <n v="8"/>
    <n v="0.15"/>
    <x v="36"/>
    <n v="468.72"/>
    <d v="2025-11-23T19:22:57"/>
  </r>
  <r>
    <s v="CUST012"/>
    <s v="Linda Wilson"/>
    <x v="0"/>
    <x v="1"/>
    <n v="1215.26"/>
    <n v="5"/>
    <n v="0.15"/>
    <x v="37"/>
    <n v="258.24"/>
    <d v="2025-11-23T19:22:57"/>
  </r>
  <r>
    <s v="CUST011"/>
    <s v="Emma Wilson"/>
    <x v="4"/>
    <x v="3"/>
    <n v="1213.48"/>
    <n v="5"/>
    <n v="0.05"/>
    <x v="38"/>
    <n v="461.12"/>
    <d v="2025-11-23T19:22:57"/>
  </r>
  <r>
    <s v="CUST021"/>
    <s v="James Wilson"/>
    <x v="1"/>
    <x v="0"/>
    <n v="1205.82"/>
    <n v="11"/>
    <n v="0.1"/>
    <x v="39"/>
    <n v="542.62"/>
    <d v="2025-11-23T19:22:57"/>
  </r>
  <r>
    <s v="CUST015"/>
    <s v="Linda Taylor"/>
    <x v="1"/>
    <x v="2"/>
    <n v="1200.9000000000001"/>
    <n v="14"/>
    <n v="0.05"/>
    <x v="40"/>
    <n v="513.38"/>
    <d v="2025-11-23T19:22:57"/>
  </r>
  <r>
    <s v="CUST006"/>
    <s v="David Anderson"/>
    <x v="0"/>
    <x v="4"/>
    <n v="1193.6099999999999"/>
    <n v="1"/>
    <n v="0.15"/>
    <x v="41"/>
    <n v="355.1"/>
    <d v="2025-11-23T19:22:57"/>
  </r>
  <r>
    <s v="CUST007"/>
    <s v="Michael Anderson"/>
    <x v="2"/>
    <x v="3"/>
    <n v="1191.58"/>
    <n v="14"/>
    <n v="0.05"/>
    <x v="42"/>
    <n v="452.8"/>
    <d v="2025-11-23T19:22:57"/>
  </r>
  <r>
    <s v="CUST009"/>
    <s v="Mary Davis"/>
    <x v="1"/>
    <x v="3"/>
    <n v="1189.83"/>
    <n v="2"/>
    <n v="0.2"/>
    <x v="43"/>
    <n v="380.75"/>
    <d v="2025-11-23T19:22:57"/>
  </r>
  <r>
    <s v="CUST021"/>
    <s v="Michael Anderson"/>
    <x v="4"/>
    <x v="4"/>
    <n v="1186.8499999999999"/>
    <n v="19"/>
    <n v="0.2"/>
    <x v="44"/>
    <n v="332.32"/>
    <d v="2025-11-23T19:22:57"/>
  </r>
  <r>
    <s v="CUST009"/>
    <s v="Michael Anderson"/>
    <x v="3"/>
    <x v="4"/>
    <n v="1184.25"/>
    <n v="11"/>
    <n v="0.2"/>
    <x v="45"/>
    <n v="331.59"/>
    <d v="2025-11-23T19:22:57"/>
  </r>
  <r>
    <s v="CUST010"/>
    <s v="Linda Brown"/>
    <x v="3"/>
    <x v="1"/>
    <n v="1173.1199999999999"/>
    <n v="18"/>
    <n v="0"/>
    <x v="46"/>
    <n v="293.27999999999997"/>
    <d v="2025-11-23T19:22:57"/>
  </r>
  <r>
    <s v="CUST029"/>
    <s v="Emma Wilson"/>
    <x v="0"/>
    <x v="4"/>
    <n v="1172.97"/>
    <n v="7"/>
    <n v="0.15"/>
    <x v="39"/>
    <n v="348.96"/>
    <d v="2025-11-23T19:22:57"/>
  </r>
  <r>
    <s v="CUST013"/>
    <s v="Mary Wilson"/>
    <x v="1"/>
    <x v="0"/>
    <n v="1171.18"/>
    <n v="19"/>
    <n v="0.05"/>
    <x v="47"/>
    <n v="556.30999999999995"/>
    <d v="2025-11-23T19:22:57"/>
  </r>
  <r>
    <s v="CUST015"/>
    <s v="David Thomas"/>
    <x v="0"/>
    <x v="0"/>
    <n v="1168.8900000000001"/>
    <n v="4"/>
    <n v="0.1"/>
    <x v="22"/>
    <n v="526"/>
    <d v="2025-11-23T19:22:57"/>
  </r>
  <r>
    <s v="CUST028"/>
    <s v="Linda Brown"/>
    <x v="3"/>
    <x v="0"/>
    <n v="1163.01"/>
    <n v="5"/>
    <n v="0"/>
    <x v="48"/>
    <n v="581.5"/>
    <d v="2025-11-23T19:22:57"/>
  </r>
  <r>
    <s v="CUST026"/>
    <s v="Sarah Anderson"/>
    <x v="0"/>
    <x v="1"/>
    <n v="1161.67"/>
    <n v="19"/>
    <n v="0.2"/>
    <x v="49"/>
    <n v="232.33"/>
    <d v="2025-11-23T19:22:57"/>
  </r>
  <r>
    <s v="CUST003"/>
    <s v="James Wilson"/>
    <x v="0"/>
    <x v="1"/>
    <n v="1158.94"/>
    <n v="19"/>
    <n v="0.2"/>
    <x v="50"/>
    <n v="231.79"/>
    <d v="2025-11-23T19:22:57"/>
  </r>
  <r>
    <s v="CUST023"/>
    <s v="James Wilson"/>
    <x v="4"/>
    <x v="2"/>
    <n v="1154.33"/>
    <n v="11"/>
    <n v="0.15"/>
    <x v="29"/>
    <n v="441.53"/>
    <d v="2025-11-23T19:22:57"/>
  </r>
  <r>
    <s v="CUST005"/>
    <s v="David Smith"/>
    <x v="3"/>
    <x v="3"/>
    <n v="1151.21"/>
    <n v="15"/>
    <n v="0.1"/>
    <x v="51"/>
    <n v="414.44"/>
    <d v="2025-11-23T19:22:57"/>
  </r>
  <r>
    <s v="CUST021"/>
    <s v="Emma Davis"/>
    <x v="2"/>
    <x v="3"/>
    <n v="1150.28"/>
    <n v="8"/>
    <n v="0.05"/>
    <x v="52"/>
    <n v="437.11"/>
    <d v="2025-11-23T19:22:57"/>
  </r>
  <r>
    <s v="CUST020"/>
    <s v="Linda Jackson"/>
    <x v="4"/>
    <x v="4"/>
    <n v="1143.69"/>
    <n v="17"/>
    <n v="0"/>
    <x v="53"/>
    <n v="400.29"/>
    <d v="2025-11-23T19:22:57"/>
  </r>
  <r>
    <s v="CUST023"/>
    <s v="James Taylor"/>
    <x v="3"/>
    <x v="0"/>
    <n v="1118.3399999999999"/>
    <n v="6"/>
    <n v="0.2"/>
    <x v="31"/>
    <n v="447.34"/>
    <d v="2025-11-23T19:22:57"/>
  </r>
  <r>
    <s v="CUST028"/>
    <s v="James Wilson"/>
    <x v="0"/>
    <x v="1"/>
    <n v="1115.22"/>
    <n v="14"/>
    <n v="0.2"/>
    <x v="54"/>
    <n v="223.04"/>
    <d v="2025-11-23T19:22:57"/>
  </r>
  <r>
    <s v="CUST026"/>
    <s v="Linda Wilson"/>
    <x v="0"/>
    <x v="2"/>
    <n v="1111.3399999999999"/>
    <n v="1"/>
    <n v="0"/>
    <x v="55"/>
    <n v="500.1"/>
    <d v="2025-11-23T19:22:57"/>
  </r>
  <r>
    <s v="CUST030"/>
    <s v="Mary Davis"/>
    <x v="4"/>
    <x v="0"/>
    <n v="1109.98"/>
    <n v="5"/>
    <n v="0.2"/>
    <x v="56"/>
    <n v="443.99"/>
    <d v="2025-11-23T19:22:57"/>
  </r>
  <r>
    <s v="CUST007"/>
    <s v="Emma Taylor"/>
    <x v="0"/>
    <x v="4"/>
    <n v="1101.55"/>
    <n v="4"/>
    <n v="0.1"/>
    <x v="57"/>
    <n v="346.99"/>
    <d v="2025-11-23T19:22:57"/>
  </r>
  <r>
    <s v="CUST012"/>
    <s v="Robert Anderson"/>
    <x v="0"/>
    <x v="0"/>
    <n v="1101.28"/>
    <n v="3"/>
    <n v="0.2"/>
    <x v="58"/>
    <n v="440.51"/>
    <d v="2025-11-23T19:22:57"/>
  </r>
  <r>
    <s v="CUST029"/>
    <s v="Emma Wilson"/>
    <x v="3"/>
    <x v="1"/>
    <n v="1100.0999999999999"/>
    <n v="5"/>
    <n v="0.05"/>
    <x v="59"/>
    <n v="261.27"/>
    <d v="2025-11-23T19:22:57"/>
  </r>
  <r>
    <s v="CUST004"/>
    <s v="Linda Wilson"/>
    <x v="4"/>
    <x v="3"/>
    <n v="1099.69"/>
    <n v="6"/>
    <n v="0"/>
    <x v="60"/>
    <n v="439.88"/>
    <d v="2025-11-23T19:22:57"/>
  </r>
  <r>
    <s v="CUST015"/>
    <s v="Lisa Thomas"/>
    <x v="4"/>
    <x v="3"/>
    <n v="1098.08"/>
    <n v="9"/>
    <n v="0.1"/>
    <x v="61"/>
    <n v="395.31"/>
    <d v="2025-11-23T19:22:57"/>
  </r>
  <r>
    <s v="CUST008"/>
    <s v="Emma Wilson"/>
    <x v="4"/>
    <x v="4"/>
    <n v="1093.3800000000001"/>
    <n v="17"/>
    <n v="0.1"/>
    <x v="12"/>
    <n v="344.41"/>
    <d v="2025-11-23T19:22:57"/>
  </r>
  <r>
    <s v="CUST030"/>
    <s v="Sarah Davis"/>
    <x v="3"/>
    <x v="4"/>
    <n v="1086.93"/>
    <n v="2"/>
    <n v="0"/>
    <x v="62"/>
    <n v="380.43"/>
    <d v="2025-11-23T19:22:57"/>
  </r>
  <r>
    <s v="CUST008"/>
    <s v="James Wilson"/>
    <x v="4"/>
    <x v="3"/>
    <n v="1081.1400000000001"/>
    <n v="19"/>
    <n v="0.15"/>
    <x v="63"/>
    <n v="367.59"/>
    <d v="2025-11-23T19:22:57"/>
  </r>
  <r>
    <s v="CUST001"/>
    <s v="Lisa Thomas"/>
    <x v="1"/>
    <x v="4"/>
    <n v="1077.92"/>
    <n v="3"/>
    <n v="0.05"/>
    <x v="64"/>
    <n v="358.41"/>
    <d v="2025-11-23T19:22:57"/>
  </r>
  <r>
    <s v="CUST008"/>
    <s v="Lisa Thomas"/>
    <x v="2"/>
    <x v="0"/>
    <n v="1076.33"/>
    <n v="2"/>
    <n v="0.1"/>
    <x v="31"/>
    <n v="484.35"/>
    <d v="2025-11-23T19:22:57"/>
  </r>
  <r>
    <s v="CUST026"/>
    <s v="Mary Davis"/>
    <x v="4"/>
    <x v="4"/>
    <n v="1074.47"/>
    <n v="6"/>
    <n v="0.2"/>
    <x v="65"/>
    <n v="300.85000000000002"/>
    <d v="2025-11-23T19:22:57"/>
  </r>
  <r>
    <s v="CUST005"/>
    <s v="Lisa Davis"/>
    <x v="2"/>
    <x v="3"/>
    <n v="1070.68"/>
    <n v="7"/>
    <n v="0.05"/>
    <x v="66"/>
    <n v="406.86"/>
    <d v="2025-11-23T19:22:57"/>
  </r>
  <r>
    <s v="CUST014"/>
    <s v="Emma Davis"/>
    <x v="3"/>
    <x v="3"/>
    <n v="1064.19"/>
    <n v="18"/>
    <n v="0.05"/>
    <x v="67"/>
    <n v="404.39"/>
    <d v="2025-11-23T19:22:57"/>
  </r>
  <r>
    <s v="CUST018"/>
    <s v="Lisa Thomas"/>
    <x v="3"/>
    <x v="1"/>
    <n v="1061.04"/>
    <n v="1"/>
    <n v="0"/>
    <x v="68"/>
    <n v="265.26"/>
    <d v="2025-11-23T19:22:57"/>
  </r>
  <r>
    <s v="CUST015"/>
    <s v="Robert Anderson"/>
    <x v="3"/>
    <x v="4"/>
    <n v="1054.56"/>
    <n v="11"/>
    <n v="0.1"/>
    <x v="69"/>
    <n v="332.19"/>
    <d v="2025-11-23T19:22:57"/>
  </r>
  <r>
    <s v="CUST019"/>
    <s v="James Davis"/>
    <x v="0"/>
    <x v="3"/>
    <n v="1036.0899999999999"/>
    <n v="4"/>
    <n v="0.2"/>
    <x v="70"/>
    <n v="331.55"/>
    <d v="2025-11-23T19:22:57"/>
  </r>
  <r>
    <s v="CUST003"/>
    <s v="James Wilson"/>
    <x v="1"/>
    <x v="4"/>
    <n v="1034.7"/>
    <n v="15"/>
    <n v="0.15"/>
    <x v="71"/>
    <n v="307.82"/>
    <d v="2025-11-23T19:22:57"/>
  </r>
  <r>
    <s v="CUST026"/>
    <s v="David Brown"/>
    <x v="0"/>
    <x v="1"/>
    <n v="1029.8"/>
    <n v="3"/>
    <n v="0"/>
    <x v="72"/>
    <n v="257.45"/>
    <d v="2025-11-23T19:22:57"/>
  </r>
  <r>
    <s v="CUST028"/>
    <s v="James Wilson"/>
    <x v="2"/>
    <x v="2"/>
    <n v="1025.98"/>
    <n v="5"/>
    <n v="0.2"/>
    <x v="73"/>
    <n v="369.35"/>
    <d v="2025-11-23T19:22:57"/>
  </r>
  <r>
    <s v="CUST022"/>
    <s v="David Davis"/>
    <x v="2"/>
    <x v="3"/>
    <n v="1023.21"/>
    <n v="18"/>
    <n v="0.05"/>
    <x v="74"/>
    <n v="388.82"/>
    <d v="2025-11-23T19:22:57"/>
  </r>
  <r>
    <s v="CUST017"/>
    <s v="Mary Davis"/>
    <x v="2"/>
    <x v="0"/>
    <n v="1022.23"/>
    <n v="8"/>
    <n v="0.1"/>
    <x v="75"/>
    <n v="460"/>
    <d v="2025-11-23T19:22:57"/>
  </r>
  <r>
    <s v="CUST007"/>
    <s v="Linda Jackson"/>
    <x v="3"/>
    <x v="1"/>
    <n v="1021.47"/>
    <n v="6"/>
    <n v="0.05"/>
    <x v="76"/>
    <n v="242.6"/>
    <d v="2025-11-23T19:22:57"/>
  </r>
  <r>
    <s v="CUST021"/>
    <s v="Mary Jackson"/>
    <x v="1"/>
    <x v="1"/>
    <n v="1020.26"/>
    <n v="11"/>
    <n v="0.05"/>
    <x v="77"/>
    <n v="242.31"/>
    <d v="2025-11-23T19:22:57"/>
  </r>
  <r>
    <s v="CUST025"/>
    <s v="Lisa Thomas"/>
    <x v="4"/>
    <x v="2"/>
    <n v="1014.56"/>
    <n v="10"/>
    <n v="0.1"/>
    <x v="78"/>
    <n v="410.9"/>
    <d v="2025-11-23T19:22:57"/>
  </r>
  <r>
    <s v="CUST013"/>
    <s v="Linda Taylor"/>
    <x v="2"/>
    <x v="3"/>
    <n v="1014.43"/>
    <n v="2"/>
    <n v="0.15"/>
    <x v="79"/>
    <n v="344.91"/>
    <d v="2025-11-23T19:22:57"/>
  </r>
  <r>
    <s v="CUST008"/>
    <s v="James Wilson"/>
    <x v="4"/>
    <x v="2"/>
    <n v="1014.22"/>
    <n v="14"/>
    <n v="0.05"/>
    <x v="80"/>
    <n v="433.58"/>
    <d v="2025-11-23T19:22:57"/>
  </r>
  <r>
    <s v="CUST008"/>
    <s v="David Davis"/>
    <x v="2"/>
    <x v="1"/>
    <n v="1014.09"/>
    <n v="13"/>
    <n v="0.2"/>
    <x v="81"/>
    <n v="202.82"/>
    <d v="2025-11-23T19:22:57"/>
  </r>
  <r>
    <s v="CUST025"/>
    <s v="Lisa Davis"/>
    <x v="4"/>
    <x v="3"/>
    <n v="1010.58"/>
    <n v="2"/>
    <n v="0.15"/>
    <x v="82"/>
    <n v="343.6"/>
    <d v="2025-11-23T19:22:57"/>
  </r>
  <r>
    <s v="CUST003"/>
    <s v="James Davis"/>
    <x v="0"/>
    <x v="1"/>
    <n v="1005.53"/>
    <n v="17"/>
    <n v="0.2"/>
    <x v="83"/>
    <n v="201.11"/>
    <d v="2025-11-23T19:22:57"/>
  </r>
  <r>
    <s v="CUST011"/>
    <s v="Mary Davis"/>
    <x v="1"/>
    <x v="2"/>
    <n v="1001.57"/>
    <n v="12"/>
    <n v="0"/>
    <x v="84"/>
    <n v="450.71"/>
    <d v="2025-11-23T19:22:57"/>
  </r>
  <r>
    <s v="CUST010"/>
    <s v="David Thomas"/>
    <x v="4"/>
    <x v="3"/>
    <n v="997.61"/>
    <n v="8"/>
    <n v="0.05"/>
    <x v="85"/>
    <n v="379.09"/>
    <d v="2025-11-23T19:22:57"/>
  </r>
  <r>
    <s v="CUST016"/>
    <s v="Michael Anderson"/>
    <x v="1"/>
    <x v="0"/>
    <n v="990.19"/>
    <n v="8"/>
    <n v="0.1"/>
    <x v="86"/>
    <n v="445.59"/>
    <d v="2025-11-23T19:22:57"/>
  </r>
  <r>
    <s v="CUST021"/>
    <s v="David Brown"/>
    <x v="0"/>
    <x v="4"/>
    <n v="984.93"/>
    <n v="14"/>
    <n v="0.2"/>
    <x v="87"/>
    <n v="275.77999999999997"/>
    <d v="2025-11-23T19:22:57"/>
  </r>
  <r>
    <s v="CUST028"/>
    <s v="Linda Taylor"/>
    <x v="4"/>
    <x v="2"/>
    <n v="983.34"/>
    <n v="19"/>
    <n v="0.1"/>
    <x v="88"/>
    <n v="398.25"/>
    <d v="2025-11-23T19:22:57"/>
  </r>
  <r>
    <s v="CUST020"/>
    <s v="Linda Moore"/>
    <x v="3"/>
    <x v="2"/>
    <n v="981.2"/>
    <n v="19"/>
    <n v="0"/>
    <x v="89"/>
    <n v="441.54"/>
    <d v="2025-11-23T19:22:57"/>
  </r>
  <r>
    <s v="CUST024"/>
    <s v="Emma Taylor"/>
    <x v="4"/>
    <x v="3"/>
    <n v="980.18"/>
    <n v="16"/>
    <n v="0.1"/>
    <x v="90"/>
    <n v="352.86"/>
    <d v="2025-11-23T19:22:57"/>
  </r>
  <r>
    <s v="CUST030"/>
    <s v="Emma Taylor"/>
    <x v="2"/>
    <x v="3"/>
    <n v="973.26"/>
    <n v="11"/>
    <n v="0"/>
    <x v="91"/>
    <n v="389.3"/>
    <d v="2025-11-23T19:22:57"/>
  </r>
  <r>
    <s v="CUST021"/>
    <s v="Sarah Anderson"/>
    <x v="3"/>
    <x v="1"/>
    <n v="967.89"/>
    <n v="10"/>
    <n v="0.1"/>
    <x v="40"/>
    <n v="217.78"/>
    <d v="2025-11-23T19:22:57"/>
  </r>
  <r>
    <s v="CUST018"/>
    <s v="Mary Jackson"/>
    <x v="3"/>
    <x v="3"/>
    <n v="966.3"/>
    <n v="2"/>
    <n v="0.15"/>
    <x v="92"/>
    <n v="328.54"/>
    <d v="2025-11-23T19:22:57"/>
  </r>
  <r>
    <s v="CUST007"/>
    <s v="Michael Anderson"/>
    <x v="1"/>
    <x v="4"/>
    <n v="965.64"/>
    <n v="8"/>
    <n v="0.1"/>
    <x v="23"/>
    <n v="304.18"/>
    <d v="2025-11-23T19:22:57"/>
  </r>
  <r>
    <s v="CUST014"/>
    <s v="Sarah Davis"/>
    <x v="3"/>
    <x v="3"/>
    <n v="961.62"/>
    <n v="8"/>
    <n v="0.2"/>
    <x v="63"/>
    <n v="307.72000000000003"/>
    <d v="2025-11-23T19:22:57"/>
  </r>
  <r>
    <s v="CUST026"/>
    <s v="Mary Wilson"/>
    <x v="1"/>
    <x v="4"/>
    <n v="957.29"/>
    <n v="4"/>
    <n v="0.05"/>
    <x v="82"/>
    <n v="318.3"/>
    <d v="2025-11-23T19:22:57"/>
  </r>
  <r>
    <s v="CUST007"/>
    <s v="Lisa Davis"/>
    <x v="3"/>
    <x v="0"/>
    <n v="953.3"/>
    <n v="11"/>
    <n v="0"/>
    <x v="93"/>
    <n v="476.65"/>
    <d v="2025-11-23T19:22:57"/>
  </r>
  <r>
    <s v="CUST002"/>
    <s v="Lisa Davis"/>
    <x v="0"/>
    <x v="3"/>
    <n v="942.9"/>
    <n v="18"/>
    <n v="0.1"/>
    <x v="94"/>
    <n v="339.44"/>
    <d v="2025-11-23T19:22:57"/>
  </r>
  <r>
    <s v="CUST007"/>
    <s v="Robert Anderson"/>
    <x v="2"/>
    <x v="3"/>
    <n v="939.09"/>
    <n v="2"/>
    <n v="0.05"/>
    <x v="95"/>
    <n v="356.85"/>
    <d v="2025-11-23T19:22:57"/>
  </r>
  <r>
    <s v="CUST014"/>
    <s v="Sarah Anderson"/>
    <x v="0"/>
    <x v="0"/>
    <n v="934.27"/>
    <n v="8"/>
    <n v="0.15"/>
    <x v="11"/>
    <n v="397.06"/>
    <d v="2025-11-23T19:22:57"/>
  </r>
  <r>
    <s v="CUST026"/>
    <s v="Mary Davis"/>
    <x v="4"/>
    <x v="4"/>
    <n v="933.71"/>
    <n v="17"/>
    <n v="0.1"/>
    <x v="83"/>
    <n v="294.12"/>
    <d v="2025-11-23T19:22:57"/>
  </r>
  <r>
    <s v="CUST016"/>
    <s v="David Thomas"/>
    <x v="3"/>
    <x v="0"/>
    <n v="928.32"/>
    <n v="2"/>
    <n v="0.05"/>
    <x v="96"/>
    <n v="440.95"/>
    <d v="2025-11-23T19:22:57"/>
  </r>
  <r>
    <s v="CUST012"/>
    <s v="Mary Davis"/>
    <x v="2"/>
    <x v="2"/>
    <n v="925.31"/>
    <n v="8"/>
    <n v="0.1"/>
    <x v="46"/>
    <n v="374.75"/>
    <d v="2025-11-23T19:22:57"/>
  </r>
  <r>
    <s v="CUST012"/>
    <s v="Lisa Davis"/>
    <x v="1"/>
    <x v="1"/>
    <n v="925.29"/>
    <n v="17"/>
    <n v="0"/>
    <x v="97"/>
    <n v="231.32"/>
    <d v="2025-11-23T19:22:57"/>
  </r>
  <r>
    <s v="CUST029"/>
    <s v="Lisa Thomas"/>
    <x v="4"/>
    <x v="1"/>
    <n v="919.18"/>
    <n v="4"/>
    <n v="0.15"/>
    <x v="15"/>
    <n v="195.33"/>
    <d v="2025-11-23T19:22:57"/>
  </r>
  <r>
    <s v="CUST005"/>
    <s v="Robert Anderson"/>
    <x v="3"/>
    <x v="4"/>
    <n v="919.04"/>
    <n v="10"/>
    <n v="0.2"/>
    <x v="98"/>
    <n v="257.33"/>
    <d v="2025-11-23T19:22:57"/>
  </r>
  <r>
    <s v="CUST020"/>
    <s v="James Taylor"/>
    <x v="3"/>
    <x v="3"/>
    <n v="917.48"/>
    <n v="6"/>
    <n v="0"/>
    <x v="99"/>
    <n v="366.99"/>
    <d v="2025-11-23T19:22:57"/>
  </r>
  <r>
    <s v="CUST003"/>
    <s v="James Wilson"/>
    <x v="2"/>
    <x v="0"/>
    <n v="902.19"/>
    <n v="12"/>
    <n v="0"/>
    <x v="100"/>
    <n v="451.1"/>
    <d v="2025-11-23T19:22:57"/>
  </r>
  <r>
    <s v="CUST001"/>
    <s v="Sarah Anderson"/>
    <x v="0"/>
    <x v="1"/>
    <n v="894.55"/>
    <n v="19"/>
    <n v="0.2"/>
    <x v="101"/>
    <n v="178.91"/>
    <d v="2025-11-23T19:22:57"/>
  </r>
  <r>
    <s v="CUST011"/>
    <s v="Linda Wilson"/>
    <x v="1"/>
    <x v="3"/>
    <n v="884.63"/>
    <n v="18"/>
    <n v="0.1"/>
    <x v="102"/>
    <n v="318.47000000000003"/>
    <d v="2025-11-23T19:22:57"/>
  </r>
  <r>
    <s v="CUST008"/>
    <s v="Robert Anderson"/>
    <x v="3"/>
    <x v="3"/>
    <n v="877.58"/>
    <n v="10"/>
    <n v="0.15"/>
    <x v="103"/>
    <n v="298.38"/>
    <d v="2025-11-23T19:22:57"/>
  </r>
  <r>
    <s v="CUST002"/>
    <s v="Mary Davis"/>
    <x v="3"/>
    <x v="3"/>
    <n v="876.44"/>
    <n v="12"/>
    <n v="0.05"/>
    <x v="18"/>
    <n v="333.05"/>
    <d v="2025-11-23T19:22:57"/>
  </r>
  <r>
    <s v="CUST027"/>
    <s v="Emma Davis"/>
    <x v="4"/>
    <x v="2"/>
    <n v="875.41"/>
    <n v="13"/>
    <n v="0.15"/>
    <x v="104"/>
    <n v="334.84"/>
    <d v="2025-11-23T19:22:57"/>
  </r>
  <r>
    <s v="CUST023"/>
    <s v="David Brown"/>
    <x v="4"/>
    <x v="4"/>
    <n v="873.7"/>
    <n v="9"/>
    <n v="0"/>
    <x v="105"/>
    <n v="305.8"/>
    <d v="2025-11-23T19:22:57"/>
  </r>
  <r>
    <s v="CUST016"/>
    <s v="James Taylor"/>
    <x v="3"/>
    <x v="0"/>
    <n v="870.23"/>
    <n v="5"/>
    <n v="0.05"/>
    <x v="106"/>
    <n v="413.36"/>
    <d v="2025-11-23T19:22:57"/>
  </r>
  <r>
    <s v="CUST029"/>
    <s v="David Brown"/>
    <x v="0"/>
    <x v="0"/>
    <n v="864.98"/>
    <n v="2"/>
    <n v="0.05"/>
    <x v="107"/>
    <n v="410.87"/>
    <d v="2025-11-23T19:22:57"/>
  </r>
  <r>
    <s v="CUST010"/>
    <s v="Linda Wilson"/>
    <x v="0"/>
    <x v="4"/>
    <n v="862.19"/>
    <n v="18"/>
    <n v="0.05"/>
    <x v="108"/>
    <n v="286.68"/>
    <d v="2025-11-23T19:22:57"/>
  </r>
  <r>
    <s v="CUST017"/>
    <s v="Linda Davis"/>
    <x v="2"/>
    <x v="1"/>
    <n v="856.7"/>
    <n v="2"/>
    <n v="0"/>
    <x v="36"/>
    <n v="214.18"/>
    <d v="2025-11-23T19:22:57"/>
  </r>
  <r>
    <s v="CUST014"/>
    <s v="David Anderson"/>
    <x v="3"/>
    <x v="4"/>
    <n v="853.86"/>
    <n v="8"/>
    <n v="0.1"/>
    <x v="52"/>
    <n v="268.97000000000003"/>
    <d v="2025-11-23T19:22:57"/>
  </r>
  <r>
    <s v="CUST001"/>
    <s v="Mary Jackson"/>
    <x v="0"/>
    <x v="4"/>
    <n v="853.72"/>
    <n v="5"/>
    <n v="0.15"/>
    <x v="74"/>
    <n v="253.98"/>
    <d v="2025-11-23T19:22:57"/>
  </r>
  <r>
    <s v="CUST030"/>
    <s v="James Wilson"/>
    <x v="1"/>
    <x v="3"/>
    <n v="847"/>
    <n v="12"/>
    <n v="0.2"/>
    <x v="109"/>
    <n v="271.04000000000002"/>
    <d v="2025-11-23T19:22:57"/>
  </r>
  <r>
    <s v="CUST012"/>
    <s v="Lisa Thomas"/>
    <x v="1"/>
    <x v="0"/>
    <n v="845.84"/>
    <n v="4"/>
    <n v="0"/>
    <x v="110"/>
    <n v="422.92"/>
    <d v="2025-11-23T19:22:57"/>
  </r>
  <r>
    <s v="CUST019"/>
    <s v="David Brown"/>
    <x v="4"/>
    <x v="2"/>
    <n v="840.92"/>
    <n v="9"/>
    <n v="0.05"/>
    <x v="40"/>
    <n v="359.49"/>
    <d v="2025-11-23T19:22:57"/>
  </r>
  <r>
    <s v="CUST021"/>
    <s v="James Wilson"/>
    <x v="2"/>
    <x v="3"/>
    <n v="840.85"/>
    <n v="19"/>
    <n v="0.1"/>
    <x v="34"/>
    <n v="302.70999999999998"/>
    <d v="2025-11-23T19:22:57"/>
  </r>
  <r>
    <s v="CUST007"/>
    <s v="Emma Davis"/>
    <x v="1"/>
    <x v="2"/>
    <n v="833.91"/>
    <n v="3"/>
    <n v="0.05"/>
    <x v="111"/>
    <n v="356.5"/>
    <d v="2025-11-23T19:22:57"/>
  </r>
  <r>
    <s v="CUST002"/>
    <s v="Lisa Davis"/>
    <x v="0"/>
    <x v="2"/>
    <n v="827.25"/>
    <n v="7"/>
    <n v="0.1"/>
    <x v="112"/>
    <n v="335.04"/>
    <d v="2025-11-23T19:22:57"/>
  </r>
  <r>
    <s v="CUST018"/>
    <s v="Mary Davis"/>
    <x v="2"/>
    <x v="0"/>
    <n v="826.97"/>
    <n v="18"/>
    <n v="0.2"/>
    <x v="113"/>
    <n v="330.79"/>
    <d v="2025-11-23T19:22:57"/>
  </r>
  <r>
    <s v="CUST017"/>
    <s v="Sarah Davis"/>
    <x v="0"/>
    <x v="2"/>
    <n v="826.93"/>
    <n v="10"/>
    <n v="0.2"/>
    <x v="100"/>
    <n v="297.69"/>
    <d v="2025-11-23T19:22:57"/>
  </r>
  <r>
    <s v="CUST023"/>
    <s v="Robert Anderson"/>
    <x v="0"/>
    <x v="4"/>
    <n v="822.28"/>
    <n v="7"/>
    <n v="0.05"/>
    <x v="42"/>
    <n v="273.41000000000003"/>
    <d v="2025-11-23T19:22:57"/>
  </r>
  <r>
    <s v="CUST015"/>
    <s v="David Anderson"/>
    <x v="0"/>
    <x v="4"/>
    <n v="820.19"/>
    <n v="4"/>
    <n v="0.2"/>
    <x v="114"/>
    <n v="229.65"/>
    <d v="2025-11-23T19:22:57"/>
  </r>
  <r>
    <s v="CUST009"/>
    <s v="Emma Davis"/>
    <x v="1"/>
    <x v="1"/>
    <n v="818.8"/>
    <n v="15"/>
    <n v="0.15"/>
    <x v="98"/>
    <n v="173.99"/>
    <d v="2025-11-23T19:22:57"/>
  </r>
  <r>
    <s v="CUST002"/>
    <s v="Emma Wilson"/>
    <x v="3"/>
    <x v="4"/>
    <n v="806.03"/>
    <n v="19"/>
    <n v="0.05"/>
    <x v="115"/>
    <n v="268"/>
    <d v="2025-11-23T19:22:57"/>
  </r>
  <r>
    <s v="CUST008"/>
    <s v="James Davis"/>
    <x v="2"/>
    <x v="2"/>
    <n v="804.81"/>
    <n v="1"/>
    <n v="0.05"/>
    <x v="116"/>
    <n v="344.06"/>
    <d v="2025-11-23T19:22:57"/>
  </r>
  <r>
    <s v="CUST012"/>
    <s v="David Anderson"/>
    <x v="3"/>
    <x v="3"/>
    <n v="804.45"/>
    <n v="5"/>
    <n v="0.2"/>
    <x v="117"/>
    <n v="257.42"/>
    <d v="2025-11-23T19:22:57"/>
  </r>
  <r>
    <s v="CUST028"/>
    <s v="James Wilson"/>
    <x v="3"/>
    <x v="1"/>
    <n v="801.21"/>
    <n v="3"/>
    <n v="0.2"/>
    <x v="88"/>
    <n v="160.24"/>
    <d v="2025-11-23T19:22:57"/>
  </r>
  <r>
    <s v="CUST028"/>
    <s v="Linda Brown"/>
    <x v="2"/>
    <x v="1"/>
    <n v="790.08"/>
    <n v="7"/>
    <n v="0.1"/>
    <x v="66"/>
    <n v="177.77"/>
    <d v="2025-11-23T19:22:57"/>
  </r>
  <r>
    <s v="CUST008"/>
    <s v="John Brown"/>
    <x v="3"/>
    <x v="1"/>
    <n v="775.45"/>
    <n v="6"/>
    <n v="0.1"/>
    <x v="118"/>
    <n v="174.48"/>
    <d v="2025-11-23T19:22:57"/>
  </r>
  <r>
    <s v="CUST008"/>
    <s v="Mary Wilson"/>
    <x v="2"/>
    <x v="4"/>
    <n v="773.09"/>
    <n v="13"/>
    <n v="0.15"/>
    <x v="16"/>
    <n v="229.99"/>
    <d v="2025-11-23T19:22:57"/>
  </r>
  <r>
    <s v="CUST009"/>
    <s v="Emma Davis"/>
    <x v="3"/>
    <x v="1"/>
    <n v="771.02"/>
    <n v="1"/>
    <n v="0"/>
    <x v="119"/>
    <n v="192.76"/>
    <d v="2025-11-23T19:22:57"/>
  </r>
  <r>
    <s v="CUST007"/>
    <s v="James Davis"/>
    <x v="3"/>
    <x v="0"/>
    <n v="762.14"/>
    <n v="9"/>
    <n v="0"/>
    <x v="120"/>
    <n v="381.07"/>
    <d v="2025-11-23T19:22:57"/>
  </r>
  <r>
    <s v="CUST005"/>
    <s v="Robert Anderson"/>
    <x v="3"/>
    <x v="1"/>
    <n v="760.93"/>
    <n v="4"/>
    <n v="0.15"/>
    <x v="121"/>
    <n v="161.69999999999999"/>
    <d v="2025-11-23T19:22:57"/>
  </r>
  <r>
    <s v="CUST030"/>
    <s v="Linda Taylor"/>
    <x v="1"/>
    <x v="3"/>
    <n v="750.71"/>
    <n v="10"/>
    <n v="0.15"/>
    <x v="120"/>
    <n v="255.24"/>
    <d v="2025-11-23T19:22:57"/>
  </r>
  <r>
    <s v="CUST028"/>
    <s v="James Wilson"/>
    <x v="2"/>
    <x v="2"/>
    <n v="745.05"/>
    <n v="10"/>
    <n v="0.1"/>
    <x v="106"/>
    <n v="301.75"/>
    <d v="2025-11-23T19:22:57"/>
  </r>
  <r>
    <s v="CUST019"/>
    <s v="Mary Davis"/>
    <x v="0"/>
    <x v="3"/>
    <n v="743.17"/>
    <n v="9"/>
    <n v="0"/>
    <x v="122"/>
    <n v="297.27"/>
    <d v="2025-11-23T19:22:57"/>
  </r>
  <r>
    <s v="CUST024"/>
    <s v="Linda Wilson"/>
    <x v="2"/>
    <x v="0"/>
    <n v="741.88"/>
    <n v="16"/>
    <n v="0.1"/>
    <x v="123"/>
    <n v="333.85"/>
    <d v="2025-11-23T19:22:57"/>
  </r>
  <r>
    <s v="CUST029"/>
    <s v="Sarah Davis"/>
    <x v="1"/>
    <x v="1"/>
    <n v="741.61"/>
    <n v="1"/>
    <n v="0.2"/>
    <x v="124"/>
    <n v="148.32"/>
    <d v="2025-11-23T19:22:57"/>
  </r>
  <r>
    <s v="CUST028"/>
    <s v="Robert Anderson"/>
    <x v="3"/>
    <x v="2"/>
    <n v="740.8"/>
    <n v="3"/>
    <n v="0"/>
    <x v="125"/>
    <n v="333.36"/>
    <d v="2025-11-23T19:22:57"/>
  </r>
  <r>
    <s v="CUST010"/>
    <s v="David Thomas"/>
    <x v="2"/>
    <x v="0"/>
    <n v="737.31"/>
    <n v="2"/>
    <n v="0.05"/>
    <x v="65"/>
    <n v="350.22"/>
    <d v="2025-11-23T19:22:57"/>
  </r>
  <r>
    <s v="CUST025"/>
    <s v="Emma Taylor"/>
    <x v="2"/>
    <x v="0"/>
    <n v="728.71"/>
    <n v="14"/>
    <n v="0.1"/>
    <x v="25"/>
    <n v="327.92"/>
    <d v="2025-11-23T19:22:57"/>
  </r>
  <r>
    <s v="CUST013"/>
    <s v="Robert Anderson"/>
    <x v="3"/>
    <x v="4"/>
    <n v="727.73"/>
    <n v="1"/>
    <n v="0.1"/>
    <x v="104"/>
    <n v="229.23"/>
    <d v="2025-11-23T19:22:57"/>
  </r>
  <r>
    <s v="CUST019"/>
    <s v="James Taylor"/>
    <x v="3"/>
    <x v="1"/>
    <n v="718.04"/>
    <n v="14"/>
    <n v="0"/>
    <x v="28"/>
    <n v="179.51"/>
    <d v="2025-11-23T19:22:57"/>
  </r>
  <r>
    <s v="CUST017"/>
    <s v="James Taylor"/>
    <x v="4"/>
    <x v="3"/>
    <n v="713.34"/>
    <n v="17"/>
    <n v="0"/>
    <x v="121"/>
    <n v="285.33999999999997"/>
    <d v="2025-11-23T19:22:57"/>
  </r>
  <r>
    <s v="CUST028"/>
    <s v="Sarah Davis"/>
    <x v="1"/>
    <x v="3"/>
    <n v="710.52"/>
    <n v="8"/>
    <n v="0.1"/>
    <x v="126"/>
    <n v="255.79"/>
    <d v="2025-11-23T19:22:57"/>
  </r>
  <r>
    <s v="CUST024"/>
    <s v="James Wilson"/>
    <x v="1"/>
    <x v="1"/>
    <n v="706.73"/>
    <n v="1"/>
    <n v="0.15"/>
    <x v="28"/>
    <n v="150.18"/>
    <d v="2025-11-23T19:22:57"/>
  </r>
  <r>
    <s v="CUST023"/>
    <s v="Mary Davis"/>
    <x v="2"/>
    <x v="1"/>
    <n v="706.37"/>
    <n v="6"/>
    <n v="0"/>
    <x v="122"/>
    <n v="176.59"/>
    <d v="2025-11-23T19:22:57"/>
  </r>
  <r>
    <s v="CUST003"/>
    <s v="Sarah Anderson"/>
    <x v="3"/>
    <x v="3"/>
    <n v="704.28"/>
    <n v="15"/>
    <n v="0.2"/>
    <x v="3"/>
    <n v="225.37"/>
    <d v="2025-11-23T19:22:57"/>
  </r>
  <r>
    <s v="CUST027"/>
    <s v="James Wilson"/>
    <x v="0"/>
    <x v="0"/>
    <n v="697.57"/>
    <n v="17"/>
    <n v="0.1"/>
    <x v="41"/>
    <n v="313.91000000000003"/>
    <d v="2025-11-23T19:22:57"/>
  </r>
  <r>
    <s v="CUST009"/>
    <s v="Linda Taylor"/>
    <x v="3"/>
    <x v="0"/>
    <n v="689.43"/>
    <n v="9"/>
    <n v="0.1"/>
    <x v="127"/>
    <n v="310.24"/>
    <d v="2025-11-23T19:22:57"/>
  </r>
  <r>
    <s v="CUST012"/>
    <s v="David Brown"/>
    <x v="0"/>
    <x v="1"/>
    <n v="688.83"/>
    <n v="15"/>
    <n v="0"/>
    <x v="128"/>
    <n v="172.21"/>
    <d v="2025-11-23T19:22:57"/>
  </r>
  <r>
    <s v="CUST023"/>
    <s v="Mary Wilson"/>
    <x v="3"/>
    <x v="0"/>
    <n v="682.24"/>
    <n v="1"/>
    <n v="0"/>
    <x v="129"/>
    <n v="341.12"/>
    <d v="2025-11-23T19:22:57"/>
  </r>
  <r>
    <s v="CUST007"/>
    <s v="David Brown"/>
    <x v="1"/>
    <x v="3"/>
    <n v="679.71"/>
    <n v="19"/>
    <n v="0"/>
    <x v="53"/>
    <n v="271.88"/>
    <d v="2025-11-23T19:22:57"/>
  </r>
  <r>
    <s v="CUST030"/>
    <s v="John Brown"/>
    <x v="1"/>
    <x v="4"/>
    <n v="675.54"/>
    <n v="17"/>
    <n v="0"/>
    <x v="130"/>
    <n v="236.44"/>
    <d v="2025-11-23T19:22:57"/>
  </r>
  <r>
    <s v="CUST011"/>
    <s v="Linda Moore"/>
    <x v="2"/>
    <x v="0"/>
    <n v="662.61"/>
    <n v="11"/>
    <n v="0.05"/>
    <x v="131"/>
    <n v="314.74"/>
    <d v="2025-11-23T19:22:57"/>
  </r>
  <r>
    <s v="CUST003"/>
    <s v="Linda Moore"/>
    <x v="1"/>
    <x v="0"/>
    <n v="661.09"/>
    <n v="1"/>
    <n v="0.2"/>
    <x v="132"/>
    <n v="264.44"/>
    <d v="2025-11-23T19:22:57"/>
  </r>
  <r>
    <s v="CUST026"/>
    <s v="Mary Davis"/>
    <x v="2"/>
    <x v="1"/>
    <n v="645.02"/>
    <n v="4"/>
    <n v="0"/>
    <x v="133"/>
    <n v="161.26"/>
    <d v="2025-11-23T19:22:57"/>
  </r>
  <r>
    <s v="CUST018"/>
    <s v="Lisa Davis"/>
    <x v="1"/>
    <x v="3"/>
    <n v="640.64"/>
    <n v="11"/>
    <n v="0.2"/>
    <x v="134"/>
    <n v="205"/>
    <d v="2025-11-23T19:22:57"/>
  </r>
  <r>
    <s v="CUST001"/>
    <s v="Lisa Thomas"/>
    <x v="0"/>
    <x v="3"/>
    <n v="636.70000000000005"/>
    <n v="4"/>
    <n v="0.2"/>
    <x v="103"/>
    <n v="203.74"/>
    <d v="2025-11-23T19:22:57"/>
  </r>
  <r>
    <s v="CUST030"/>
    <s v="David Brown"/>
    <x v="2"/>
    <x v="1"/>
    <n v="608.66"/>
    <n v="1"/>
    <n v="0.05"/>
    <x v="135"/>
    <n v="144.56"/>
    <d v="2025-11-23T19:22:57"/>
  </r>
  <r>
    <s v="CUST027"/>
    <s v="Emma Davis"/>
    <x v="1"/>
    <x v="3"/>
    <n v="585.97"/>
    <n v="17"/>
    <n v="0.1"/>
    <x v="86"/>
    <n v="210.95"/>
    <d v="2025-11-23T19:22:57"/>
  </r>
  <r>
    <s v="CUST030"/>
    <s v="Sarah Anderson"/>
    <x v="0"/>
    <x v="0"/>
    <n v="585.16"/>
    <n v="17"/>
    <n v="0.1"/>
    <x v="136"/>
    <n v="263.32"/>
    <d v="2025-11-23T19:22:57"/>
  </r>
  <r>
    <s v="CUST016"/>
    <s v="Emma Wilson"/>
    <x v="4"/>
    <x v="3"/>
    <n v="580.42999999999995"/>
    <n v="19"/>
    <n v="0.15"/>
    <x v="137"/>
    <n v="197.35"/>
    <d v="2025-11-23T19:22:57"/>
  </r>
  <r>
    <s v="CUST004"/>
    <s v="Mary Davis"/>
    <x v="3"/>
    <x v="2"/>
    <n v="573.32000000000005"/>
    <n v="19"/>
    <n v="0.1"/>
    <x v="138"/>
    <n v="232.19"/>
    <d v="2025-11-23T19:22:57"/>
  </r>
  <r>
    <s v="CUST023"/>
    <s v="David Davis"/>
    <x v="4"/>
    <x v="2"/>
    <n v="556.41999999999996"/>
    <n v="11"/>
    <n v="0.15"/>
    <x v="73"/>
    <n v="212.83"/>
    <d v="2025-11-23T19:22:57"/>
  </r>
  <r>
    <s v="CUST015"/>
    <s v="Sarah Anderson"/>
    <x v="0"/>
    <x v="2"/>
    <n v="545.44000000000005"/>
    <n v="17"/>
    <n v="0"/>
    <x v="85"/>
    <n v="245.45"/>
    <d v="2025-11-23T19:22:57"/>
  </r>
  <r>
    <s v="CUST024"/>
    <s v="David Brown"/>
    <x v="4"/>
    <x v="1"/>
    <n v="539.77"/>
    <n v="10"/>
    <n v="0.15"/>
    <x v="117"/>
    <n v="114.7"/>
    <d v="2025-11-23T19:22:57"/>
  </r>
  <r>
    <s v="CUST029"/>
    <s v="David Smith"/>
    <x v="1"/>
    <x v="4"/>
    <n v="521.66999999999996"/>
    <n v="15"/>
    <n v="0.15"/>
    <x v="139"/>
    <n v="155.19999999999999"/>
    <d v="2025-11-23T19:22:57"/>
  </r>
  <r>
    <s v="CUST004"/>
    <s v="Lisa Thomas"/>
    <x v="1"/>
    <x v="4"/>
    <n v="518.07000000000005"/>
    <n v="7"/>
    <n v="0.05"/>
    <x v="140"/>
    <n v="172.26"/>
    <d v="2025-11-23T19:22:57"/>
  </r>
  <r>
    <s v="CUST015"/>
    <s v="Emma Davis"/>
    <x v="2"/>
    <x v="1"/>
    <n v="511.74"/>
    <n v="8"/>
    <n v="0.05"/>
    <x v="141"/>
    <n v="121.54"/>
    <d v="2025-11-23T19:22:57"/>
  </r>
  <r>
    <s v="CUST009"/>
    <s v="Linda Jackson"/>
    <x v="2"/>
    <x v="3"/>
    <n v="501.54"/>
    <n v="11"/>
    <n v="0.05"/>
    <x v="65"/>
    <n v="190.59"/>
    <d v="2025-11-23T19:22:57"/>
  </r>
  <r>
    <s v="CUST028"/>
    <s v="Mary Wilson"/>
    <x v="1"/>
    <x v="3"/>
    <n v="499.18"/>
    <n v="15"/>
    <n v="0.2"/>
    <x v="142"/>
    <n v="159.74"/>
    <d v="2025-11-23T19:22:57"/>
  </r>
  <r>
    <s v="CUST010"/>
    <s v="David Brown"/>
    <x v="2"/>
    <x v="2"/>
    <n v="488.99"/>
    <n v="9"/>
    <n v="0"/>
    <x v="143"/>
    <n v="220.05"/>
    <d v="2025-11-23T19:22:57"/>
  </r>
  <r>
    <s v="CUST012"/>
    <s v="Michael Anderson"/>
    <x v="0"/>
    <x v="3"/>
    <n v="472.38"/>
    <n v="12"/>
    <n v="0.2"/>
    <x v="40"/>
    <n v="151.16"/>
    <d v="2025-11-23T19:22:57"/>
  </r>
  <r>
    <s v="CUST029"/>
    <s v="Michael Anderson"/>
    <x v="1"/>
    <x v="1"/>
    <n v="458.54"/>
    <n v="15"/>
    <n v="0.2"/>
    <x v="144"/>
    <n v="91.71"/>
    <d v="2025-11-23T19:22:57"/>
  </r>
  <r>
    <s v="CUST003"/>
    <s v="Emma Davis"/>
    <x v="4"/>
    <x v="2"/>
    <n v="438.76"/>
    <n v="18"/>
    <n v="0.05"/>
    <x v="145"/>
    <n v="187.57"/>
    <d v="2025-11-23T19:22:57"/>
  </r>
  <r>
    <s v="CUST022"/>
    <s v="Robert Anderson"/>
    <x v="1"/>
    <x v="1"/>
    <n v="388.56"/>
    <n v="14"/>
    <n v="0.15"/>
    <x v="122"/>
    <n v="82.57"/>
    <d v="2025-11-23T19:22:57"/>
  </r>
  <r>
    <s v="CUST022"/>
    <s v="Lisa Thomas"/>
    <x v="2"/>
    <x v="2"/>
    <n v="388.23"/>
    <n v="16"/>
    <n v="0.05"/>
    <x v="146"/>
    <n v="165.97"/>
    <d v="2025-11-23T19:22:57"/>
  </r>
  <r>
    <s v="CUST015"/>
    <s v="David Thomas"/>
    <x v="0"/>
    <x v="0"/>
    <n v="379.77"/>
    <n v="9"/>
    <n v="0.05"/>
    <x v="147"/>
    <n v="180.39"/>
    <d v="2025-11-23T19:22:57"/>
  </r>
  <r>
    <s v="CUST001"/>
    <s v="David Anderson"/>
    <x v="1"/>
    <x v="0"/>
    <n v="336.66"/>
    <n v="13"/>
    <n v="0.2"/>
    <x v="4"/>
    <n v="134.66"/>
    <d v="2025-11-23T19:22:57"/>
  </r>
  <r>
    <s v="CUST028"/>
    <s v="Lisa Davis"/>
    <x v="1"/>
    <x v="2"/>
    <n v="309.42"/>
    <n v="1"/>
    <n v="0.2"/>
    <x v="131"/>
    <n v="111.39"/>
    <d v="2025-11-23T19:22:57"/>
  </r>
  <r>
    <s v="CUST027"/>
    <s v="James Wilson"/>
    <x v="0"/>
    <x v="1"/>
    <n v="258.51"/>
    <n v="19"/>
    <n v="0"/>
    <x v="38"/>
    <n v="64.63"/>
    <d v="2025-11-23T19:22:5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n v="14914.65"/>
    <n v="-6.0899183018039371E-2"/>
  </r>
  <r>
    <x v="1"/>
    <n v="14006.359999999999"/>
    <n v="0.26051450912299834"/>
  </r>
  <r>
    <x v="2"/>
    <n v="17655.219999999998"/>
    <n v="7.7865922939504881E-2"/>
  </r>
  <r>
    <x v="3"/>
    <n v="19029.960000000003"/>
    <n v="-2.7463010957458601E-2"/>
  </r>
  <r>
    <x v="4"/>
    <n v="18507.340000000004"/>
    <n v="9.0783980842195078E-2"/>
  </r>
  <r>
    <x v="5"/>
    <n v="20187.509999999995"/>
    <n v="-0.42493947990613989"/>
  </r>
  <r>
    <x v="6"/>
    <n v="11609.039999999999"/>
    <n v="-0.13070331396911358"/>
  </r>
  <r>
    <x v="7"/>
    <n v="10091.700000000001"/>
    <n v="1.0346918755016501"/>
  </r>
  <r>
    <x v="8"/>
    <n v="20533.500000000004"/>
    <n v="-0.30770496992719226"/>
  </r>
  <r>
    <x v="9"/>
    <n v="14215.24"/>
    <n v="0.41643968023051309"/>
  </r>
  <r>
    <x v="10"/>
    <n v="20135.03"/>
    <n v="-0.44772667336477762"/>
  </r>
  <r>
    <x v="11"/>
    <n v="11120.04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01E3A4-831D-408F-9A6E-A29C61EA8CAD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P31:Q37" firstHeaderRow="1" firstDataRow="1" firstDataCol="1"/>
  <pivotFields count="13">
    <pivotField showAll="0"/>
    <pivotField showAll="0"/>
    <pivotField showAll="0">
      <items count="6">
        <item x="2"/>
        <item x="4"/>
        <item x="1"/>
        <item x="3"/>
        <item x="0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dataField="1" showAll="0"/>
    <pivotField showAll="0"/>
    <pivotField showAll="0"/>
    <pivotField numFmtId="164" showAll="0">
      <items count="149">
        <item x="70"/>
        <item x="58"/>
        <item x="121"/>
        <item x="109"/>
        <item x="23"/>
        <item x="65"/>
        <item x="5"/>
        <item x="21"/>
        <item x="42"/>
        <item x="139"/>
        <item x="8"/>
        <item x="103"/>
        <item x="7"/>
        <item x="133"/>
        <item x="93"/>
        <item x="122"/>
        <item x="46"/>
        <item x="130"/>
        <item x="95"/>
        <item x="88"/>
        <item x="13"/>
        <item x="74"/>
        <item x="40"/>
        <item x="16"/>
        <item x="137"/>
        <item x="51"/>
        <item x="73"/>
        <item x="34"/>
        <item x="36"/>
        <item x="84"/>
        <item x="44"/>
        <item x="118"/>
        <item x="76"/>
        <item x="35"/>
        <item x="62"/>
        <item x="94"/>
        <item x="98"/>
        <item x="91"/>
        <item x="124"/>
        <item x="19"/>
        <item x="17"/>
        <item x="143"/>
        <item x="83"/>
        <item x="59"/>
        <item x="71"/>
        <item x="18"/>
        <item x="77"/>
        <item x="116"/>
        <item x="135"/>
        <item x="89"/>
        <item x="117"/>
        <item x="6"/>
        <item x="37"/>
        <item x="30"/>
        <item x="140"/>
        <item x="55"/>
        <item x="26"/>
        <item x="53"/>
        <item x="66"/>
        <item x="22"/>
        <item x="105"/>
        <item x="14"/>
        <item x="29"/>
        <item x="57"/>
        <item x="104"/>
        <item x="50"/>
        <item x="92"/>
        <item x="99"/>
        <item x="39"/>
        <item x="100"/>
        <item x="86"/>
        <item x="81"/>
        <item x="97"/>
        <item x="27"/>
        <item x="63"/>
        <item x="0"/>
        <item x="25"/>
        <item x="90"/>
        <item x="41"/>
        <item x="119"/>
        <item x="132"/>
        <item x="128"/>
        <item x="32"/>
        <item x="80"/>
        <item x="82"/>
        <item x="64"/>
        <item x="48"/>
        <item x="78"/>
        <item x="28"/>
        <item x="15"/>
        <item x="38"/>
        <item x="52"/>
        <item x="68"/>
        <item x="101"/>
        <item x="111"/>
        <item x="114"/>
        <item x="141"/>
        <item x="115"/>
        <item x="10"/>
        <item x="33"/>
        <item x="49"/>
        <item x="146"/>
        <item x="4"/>
        <item x="20"/>
        <item x="131"/>
        <item x="102"/>
        <item x="106"/>
        <item x="108"/>
        <item x="47"/>
        <item x="69"/>
        <item x="1"/>
        <item x="147"/>
        <item x="31"/>
        <item x="2"/>
        <item x="134"/>
        <item x="136"/>
        <item x="56"/>
        <item x="61"/>
        <item x="112"/>
        <item x="123"/>
        <item x="24"/>
        <item x="138"/>
        <item x="54"/>
        <item x="110"/>
        <item x="72"/>
        <item x="43"/>
        <item x="3"/>
        <item x="79"/>
        <item x="113"/>
        <item x="75"/>
        <item x="60"/>
        <item x="126"/>
        <item x="142"/>
        <item x="67"/>
        <item x="145"/>
        <item x="107"/>
        <item x="87"/>
        <item x="9"/>
        <item x="127"/>
        <item x="129"/>
        <item x="144"/>
        <item x="45"/>
        <item x="120"/>
        <item x="12"/>
        <item x="11"/>
        <item x="125"/>
        <item x="85"/>
        <item x="96"/>
        <item t="default"/>
      </items>
    </pivotField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289C07-6C62-4806-9228-1B51AFE7629A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P23:Q29" firstHeaderRow="1" firstDataRow="1" firstDataCol="1"/>
  <pivotFields count="13"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numFmtId="164" showAll="0">
      <items count="149">
        <item x="70"/>
        <item x="58"/>
        <item x="121"/>
        <item x="109"/>
        <item x="23"/>
        <item x="65"/>
        <item x="5"/>
        <item x="21"/>
        <item x="42"/>
        <item x="139"/>
        <item x="8"/>
        <item x="103"/>
        <item x="7"/>
        <item x="133"/>
        <item x="93"/>
        <item x="122"/>
        <item x="46"/>
        <item x="130"/>
        <item x="95"/>
        <item x="88"/>
        <item x="13"/>
        <item x="74"/>
        <item x="40"/>
        <item x="16"/>
        <item x="137"/>
        <item x="51"/>
        <item x="73"/>
        <item x="34"/>
        <item x="36"/>
        <item x="84"/>
        <item x="44"/>
        <item x="118"/>
        <item x="76"/>
        <item x="35"/>
        <item x="62"/>
        <item x="94"/>
        <item x="98"/>
        <item x="91"/>
        <item x="124"/>
        <item x="19"/>
        <item x="17"/>
        <item x="143"/>
        <item x="83"/>
        <item x="59"/>
        <item x="71"/>
        <item x="18"/>
        <item x="77"/>
        <item x="116"/>
        <item x="135"/>
        <item x="89"/>
        <item x="117"/>
        <item x="6"/>
        <item x="37"/>
        <item x="30"/>
        <item x="140"/>
        <item x="55"/>
        <item x="26"/>
        <item x="53"/>
        <item x="66"/>
        <item x="22"/>
        <item x="105"/>
        <item x="14"/>
        <item x="29"/>
        <item x="57"/>
        <item x="104"/>
        <item x="50"/>
        <item x="92"/>
        <item x="99"/>
        <item x="39"/>
        <item x="100"/>
        <item x="86"/>
        <item x="81"/>
        <item x="97"/>
        <item x="27"/>
        <item x="63"/>
        <item x="0"/>
        <item x="25"/>
        <item x="90"/>
        <item x="41"/>
        <item x="119"/>
        <item x="132"/>
        <item x="128"/>
        <item x="32"/>
        <item x="80"/>
        <item x="82"/>
        <item x="64"/>
        <item x="48"/>
        <item x="78"/>
        <item x="28"/>
        <item x="15"/>
        <item x="38"/>
        <item x="52"/>
        <item x="68"/>
        <item x="101"/>
        <item x="111"/>
        <item x="114"/>
        <item x="141"/>
        <item x="115"/>
        <item x="10"/>
        <item x="33"/>
        <item x="49"/>
        <item x="146"/>
        <item x="4"/>
        <item x="20"/>
        <item x="131"/>
        <item x="102"/>
        <item x="106"/>
        <item x="108"/>
        <item x="47"/>
        <item x="69"/>
        <item x="1"/>
        <item x="147"/>
        <item x="31"/>
        <item x="2"/>
        <item x="134"/>
        <item x="136"/>
        <item x="56"/>
        <item x="61"/>
        <item x="112"/>
        <item x="123"/>
        <item x="24"/>
        <item x="138"/>
        <item x="54"/>
        <item x="110"/>
        <item x="72"/>
        <item x="43"/>
        <item x="3"/>
        <item x="79"/>
        <item x="113"/>
        <item x="75"/>
        <item x="60"/>
        <item x="126"/>
        <item x="142"/>
        <item x="67"/>
        <item x="145"/>
        <item x="107"/>
        <item x="87"/>
        <item x="9"/>
        <item x="127"/>
        <item x="129"/>
        <item x="144"/>
        <item x="45"/>
        <item x="120"/>
        <item x="12"/>
        <item x="11"/>
        <item x="125"/>
        <item x="85"/>
        <item x="96"/>
        <item t="default"/>
      </items>
    </pivotField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F5FA33-0F8F-4F92-A2D5-44426073DC58}" name="PivotTable1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X8:Y22" firstHeaderRow="1" firstDataRow="1" firstDataCol="1"/>
  <pivotFields count="6">
    <pivotField axis="axisRow" numFmtId="17"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showAll="0"/>
    <pivotField dataField="1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x="1"/>
        <item x="2"/>
        <item x="3"/>
        <item sd="0" x="4"/>
        <item sd="0" x="5"/>
      </items>
    </pivotField>
    <pivotField showAll="0" defaultSubtotal="0">
      <items count="4">
        <item sd="0" x="0"/>
        <item sd="0" x="1"/>
        <item sd="0" x="2"/>
        <item sd="0" x="3"/>
      </items>
    </pivotField>
  </pivotFields>
  <rowFields count="2">
    <field x="4"/>
    <field x="0"/>
  </rowFields>
  <rowItems count="14">
    <i>
      <x v="1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>
      <x v="3"/>
    </i>
    <i r="1">
      <x v="3"/>
    </i>
    <i r="1">
      <x v="4"/>
    </i>
    <i r="1">
      <x v="5"/>
    </i>
    <i>
      <x v="4"/>
    </i>
    <i t="grand">
      <x/>
    </i>
  </rowItems>
  <colItems count="1">
    <i/>
  </colItems>
  <dataFields count="1">
    <dataField name="Sum of Growth % " fld="2" baseField="0" baseItem="0"/>
  </dataFields>
  <chartFormats count="2">
    <chartFormat chart="3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87EB13-309D-4475-8E54-D8878F73C41B}" name="PivotTable1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P8:Q21" firstHeaderRow="1" firstDataRow="1" firstDataCol="1"/>
  <pivotFields count="6">
    <pivotField axis="axisRow" numFmtId="17" showAll="0">
      <items count="13">
        <item x="3"/>
        <item x="4"/>
        <item x="5"/>
        <item x="6"/>
        <item x="7"/>
        <item x="8"/>
        <item x="9"/>
        <item x="10"/>
        <item x="11"/>
        <item x="0"/>
        <item x="1"/>
        <item x="2"/>
        <item t="default"/>
      </items>
    </pivotField>
    <pivotField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Growth % 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F97C9-D750-424E-854D-1DCB977C29BD}" name="PivotTable8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J29:K35" firstHeaderRow="1" firstDataRow="1" firstDataCol="1"/>
  <pivotFields count="13">
    <pivotField showAll="0"/>
    <pivotField showAll="0"/>
    <pivotField showAll="0">
      <items count="6">
        <item x="2"/>
        <item x="4"/>
        <item x="1"/>
        <item x="3"/>
        <item x="0"/>
        <item t="default"/>
      </items>
    </pivotField>
    <pivotField axis="axisRow" showAll="0">
      <items count="6">
        <item x="3"/>
        <item x="0"/>
        <item x="1"/>
        <item x="4"/>
        <item x="2"/>
        <item t="default"/>
      </items>
    </pivotField>
    <pivotField dataField="1" showAll="0"/>
    <pivotField showAll="0"/>
    <pivotField showAll="0"/>
    <pivotField numFmtId="164" showAll="0">
      <items count="149">
        <item x="70"/>
        <item x="58"/>
        <item x="121"/>
        <item x="109"/>
        <item x="23"/>
        <item x="65"/>
        <item x="5"/>
        <item x="21"/>
        <item x="42"/>
        <item x="139"/>
        <item x="8"/>
        <item x="103"/>
        <item x="7"/>
        <item x="133"/>
        <item x="93"/>
        <item x="122"/>
        <item x="46"/>
        <item x="130"/>
        <item x="95"/>
        <item x="88"/>
        <item x="13"/>
        <item x="74"/>
        <item x="40"/>
        <item x="16"/>
        <item x="137"/>
        <item x="51"/>
        <item x="73"/>
        <item x="34"/>
        <item x="36"/>
        <item x="84"/>
        <item x="44"/>
        <item x="118"/>
        <item x="76"/>
        <item x="35"/>
        <item x="62"/>
        <item x="94"/>
        <item x="98"/>
        <item x="91"/>
        <item x="124"/>
        <item x="19"/>
        <item x="17"/>
        <item x="143"/>
        <item x="83"/>
        <item x="59"/>
        <item x="71"/>
        <item x="18"/>
        <item x="77"/>
        <item x="116"/>
        <item x="135"/>
        <item x="89"/>
        <item x="117"/>
        <item x="6"/>
        <item x="37"/>
        <item x="30"/>
        <item x="140"/>
        <item x="55"/>
        <item x="26"/>
        <item x="53"/>
        <item x="66"/>
        <item x="22"/>
        <item x="105"/>
        <item x="14"/>
        <item x="29"/>
        <item x="57"/>
        <item x="104"/>
        <item x="50"/>
        <item x="92"/>
        <item x="99"/>
        <item x="39"/>
        <item x="100"/>
        <item x="86"/>
        <item x="81"/>
        <item x="97"/>
        <item x="27"/>
        <item x="63"/>
        <item x="0"/>
        <item x="25"/>
        <item x="90"/>
        <item x="41"/>
        <item x="119"/>
        <item x="132"/>
        <item x="128"/>
        <item x="32"/>
        <item x="80"/>
        <item x="82"/>
        <item x="64"/>
        <item x="48"/>
        <item x="78"/>
        <item x="28"/>
        <item x="15"/>
        <item x="38"/>
        <item x="52"/>
        <item x="68"/>
        <item x="101"/>
        <item x="111"/>
        <item x="114"/>
        <item x="141"/>
        <item x="115"/>
        <item x="10"/>
        <item x="33"/>
        <item x="49"/>
        <item x="146"/>
        <item x="4"/>
        <item x="20"/>
        <item x="131"/>
        <item x="102"/>
        <item x="106"/>
        <item x="108"/>
        <item x="47"/>
        <item x="69"/>
        <item x="1"/>
        <item x="147"/>
        <item x="31"/>
        <item x="2"/>
        <item x="134"/>
        <item x="136"/>
        <item x="56"/>
        <item x="61"/>
        <item x="112"/>
        <item x="123"/>
        <item x="24"/>
        <item x="138"/>
        <item x="54"/>
        <item x="110"/>
        <item x="72"/>
        <item x="43"/>
        <item x="3"/>
        <item x="79"/>
        <item x="113"/>
        <item x="75"/>
        <item x="60"/>
        <item x="126"/>
        <item x="142"/>
        <item x="67"/>
        <item x="145"/>
        <item x="107"/>
        <item x="87"/>
        <item x="9"/>
        <item x="127"/>
        <item x="129"/>
        <item x="144"/>
        <item x="45"/>
        <item x="120"/>
        <item x="12"/>
        <item x="11"/>
        <item x="125"/>
        <item x="85"/>
        <item x="96"/>
        <item t="default"/>
      </items>
    </pivotField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CFB0A9-06D6-4E51-BF46-A051EFC677B6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J11:K17" firstHeaderRow="1" firstDataRow="1" firstDataCol="1"/>
  <pivotFields count="13">
    <pivotField showAll="0"/>
    <pivotField showAll="0"/>
    <pivotField axis="axisRow" showAll="0">
      <items count="6">
        <item x="2"/>
        <item x="4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numFmtId="164" showAll="0">
      <items count="149">
        <item x="70"/>
        <item x="58"/>
        <item x="121"/>
        <item x="109"/>
        <item x="23"/>
        <item x="65"/>
        <item x="5"/>
        <item x="21"/>
        <item x="42"/>
        <item x="139"/>
        <item x="8"/>
        <item x="103"/>
        <item x="7"/>
        <item x="133"/>
        <item x="93"/>
        <item x="122"/>
        <item x="46"/>
        <item x="130"/>
        <item x="95"/>
        <item x="88"/>
        <item x="13"/>
        <item x="74"/>
        <item x="40"/>
        <item x="16"/>
        <item x="137"/>
        <item x="51"/>
        <item x="73"/>
        <item x="34"/>
        <item x="36"/>
        <item x="84"/>
        <item x="44"/>
        <item x="118"/>
        <item x="76"/>
        <item x="35"/>
        <item x="62"/>
        <item x="94"/>
        <item x="98"/>
        <item x="91"/>
        <item x="124"/>
        <item x="19"/>
        <item x="17"/>
        <item x="143"/>
        <item x="83"/>
        <item x="59"/>
        <item x="71"/>
        <item x="18"/>
        <item x="77"/>
        <item x="116"/>
        <item x="135"/>
        <item x="89"/>
        <item x="117"/>
        <item x="6"/>
        <item x="37"/>
        <item x="30"/>
        <item x="140"/>
        <item x="55"/>
        <item x="26"/>
        <item x="53"/>
        <item x="66"/>
        <item x="22"/>
        <item x="105"/>
        <item x="14"/>
        <item x="29"/>
        <item x="57"/>
        <item x="104"/>
        <item x="50"/>
        <item x="92"/>
        <item x="99"/>
        <item x="39"/>
        <item x="100"/>
        <item x="86"/>
        <item x="81"/>
        <item x="97"/>
        <item x="27"/>
        <item x="63"/>
        <item x="0"/>
        <item x="25"/>
        <item x="90"/>
        <item x="41"/>
        <item x="119"/>
        <item x="132"/>
        <item x="128"/>
        <item x="32"/>
        <item x="80"/>
        <item x="82"/>
        <item x="64"/>
        <item x="48"/>
        <item x="78"/>
        <item x="28"/>
        <item x="15"/>
        <item x="38"/>
        <item x="52"/>
        <item x="68"/>
        <item x="101"/>
        <item x="111"/>
        <item x="114"/>
        <item x="141"/>
        <item x="115"/>
        <item x="10"/>
        <item x="33"/>
        <item x="49"/>
        <item x="146"/>
        <item x="4"/>
        <item x="20"/>
        <item x="131"/>
        <item x="102"/>
        <item x="106"/>
        <item x="108"/>
        <item x="47"/>
        <item x="69"/>
        <item x="1"/>
        <item x="147"/>
        <item x="31"/>
        <item x="2"/>
        <item x="134"/>
        <item x="136"/>
        <item x="56"/>
        <item x="61"/>
        <item x="112"/>
        <item x="123"/>
        <item x="24"/>
        <item x="138"/>
        <item x="54"/>
        <item x="110"/>
        <item x="72"/>
        <item x="43"/>
        <item x="3"/>
        <item x="79"/>
        <item x="113"/>
        <item x="75"/>
        <item x="60"/>
        <item x="126"/>
        <item x="142"/>
        <item x="67"/>
        <item x="145"/>
        <item x="107"/>
        <item x="87"/>
        <item x="9"/>
        <item x="127"/>
        <item x="129"/>
        <item x="144"/>
        <item x="45"/>
        <item x="120"/>
        <item x="12"/>
        <item x="11"/>
        <item x="125"/>
        <item x="85"/>
        <item x="96"/>
        <item t="default"/>
      </items>
    </pivotField>
    <pivotField showAll="0"/>
    <pivotField numFmtId="2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4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2CD8D2-EC65-4615-BF9C-6B40314ABA77}" name="Table2" displayName="Table2" ref="A1:J201" totalsRowShown="0" headerRowDxfId="14" dataDxfId="13">
  <autoFilter ref="A1:J201" xr:uid="{C52CD8D2-EC65-4615-BF9C-6B40314ABA77}"/>
  <sortState xmlns:xlrd2="http://schemas.microsoft.com/office/spreadsheetml/2017/richdata2" ref="A2:I201">
    <sortCondition descending="1" ref="E1:E201"/>
  </sortState>
  <tableColumns count="10">
    <tableColumn id="1" xr3:uid="{7D4594A2-6F50-49BB-A0F2-188AE80CB8F8}" name="Customer_ID" dataDxfId="12"/>
    <tableColumn id="2" xr3:uid="{ABBBEBA5-8063-453F-88D8-F2CCD408AA1C}" name="Customer_Name" dataDxfId="11"/>
    <tableColumn id="3" xr3:uid="{4F821206-26E5-49F5-98DC-A047402082CF}" name="Region" dataDxfId="10"/>
    <tableColumn id="4" xr3:uid="{92158B7D-B9AF-4420-B397-696252A31FE1}" name="Product_Category" dataDxfId="9"/>
    <tableColumn id="5" xr3:uid="{61FF9E83-60CD-4E03-BD77-B03F61DA3A38}" name="Sales" dataDxfId="8"/>
    <tableColumn id="6" xr3:uid="{8D60A545-1678-4A74-A28C-8F2B94105C0A}" name="Quantity" dataDxfId="7"/>
    <tableColumn id="7" xr3:uid="{AB2254D3-E960-46BB-BE8E-516387FC76B2}" name="Discount" dataDxfId="6"/>
    <tableColumn id="8" xr3:uid="{4A14F4BD-18D5-49C9-B3DA-30714C5A2887}" name="Order_Date" dataDxfId="5"/>
    <tableColumn id="9" xr3:uid="{4F9ADC77-FED6-4F10-95AA-FD110343E92F}" name="Total Revenue" dataDxfId="4">
      <calculatedColumnFormula>Table2[[#This Row],[Sales]]-Table2[[#This Row],[Sales]]*Table2[[#This Row],[Discount]]</calculatedColumnFormula>
    </tableColumn>
    <tableColumn id="10" xr3:uid="{F54860AE-97C5-48EF-A719-290F402D4D3C}" name="Time Stamp" dataDxfId="3">
      <calculatedColumnFormula>NOW()</calculatedColumnFormula>
    </tableColumn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6E360-31CF-4243-937C-AABC1A960861}">
  <dimension ref="A1:U201"/>
  <sheetViews>
    <sheetView tabSelected="1" zoomScale="86" workbookViewId="0">
      <selection activeCell="S55" sqref="S55"/>
    </sheetView>
  </sheetViews>
  <sheetFormatPr defaultRowHeight="14.4" x14ac:dyDescent="0.3"/>
  <cols>
    <col min="1" max="1" width="14.109375" bestFit="1" customWidth="1"/>
    <col min="2" max="2" width="17.44140625" bestFit="1" customWidth="1"/>
    <col min="3" max="3" width="9" bestFit="1" customWidth="1"/>
    <col min="4" max="4" width="18.5546875" bestFit="1" customWidth="1"/>
    <col min="5" max="5" width="8" bestFit="1" customWidth="1"/>
    <col min="6" max="7" width="10.5546875" bestFit="1" customWidth="1"/>
    <col min="8" max="8" width="12.88671875" bestFit="1" customWidth="1"/>
    <col min="9" max="9" width="16.21875" bestFit="1" customWidth="1"/>
    <col min="10" max="10" width="15.6640625" bestFit="1" customWidth="1"/>
    <col min="13" max="13" width="17.44140625" bestFit="1" customWidth="1"/>
    <col min="14" max="14" width="12" bestFit="1" customWidth="1"/>
    <col min="15" max="15" width="12.77734375" bestFit="1" customWidth="1"/>
    <col min="16" max="16" width="13.33203125" bestFit="1" customWidth="1"/>
    <col min="17" max="17" width="13.6640625" bestFit="1" customWidth="1"/>
    <col min="18" max="18" width="12.6640625" bestFit="1" customWidth="1"/>
    <col min="19" max="19" width="12" bestFit="1" customWidth="1"/>
    <col min="20" max="20" width="12.6640625" bestFit="1" customWidth="1"/>
    <col min="21" max="21" width="12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131</v>
      </c>
      <c r="J1" s="2" t="s">
        <v>8</v>
      </c>
    </row>
    <row r="2" spans="1:21" ht="25.8" x14ac:dyDescent="0.5">
      <c r="A2" s="3" t="s">
        <v>9</v>
      </c>
      <c r="B2" s="3" t="s">
        <v>10</v>
      </c>
      <c r="C2" s="3" t="s">
        <v>11</v>
      </c>
      <c r="D2" s="3" t="s">
        <v>12</v>
      </c>
      <c r="E2" s="3">
        <v>1923.66</v>
      </c>
      <c r="F2" s="3">
        <v>9</v>
      </c>
      <c r="G2" s="3">
        <v>0.2</v>
      </c>
      <c r="H2" s="4">
        <v>45580</v>
      </c>
      <c r="I2" s="3">
        <f>Table2[[#This Row],[Sales]]-Table2[[#This Row],[Sales]]*Table2[[#This Row],[Discount]]</f>
        <v>1538.9280000000001</v>
      </c>
      <c r="J2" s="5">
        <f t="shared" ref="J2:J65" ca="1" si="0">NOW()</f>
        <v>45985.797457870372</v>
      </c>
      <c r="M2" s="50" t="s">
        <v>101</v>
      </c>
      <c r="N2" s="51"/>
      <c r="O2" s="51"/>
      <c r="P2" s="51"/>
      <c r="Q2" s="51"/>
      <c r="R2" s="51"/>
      <c r="S2" s="51"/>
      <c r="T2" s="51"/>
      <c r="U2" s="52"/>
    </row>
    <row r="3" spans="1:21" x14ac:dyDescent="0.3">
      <c r="A3" s="3" t="s">
        <v>9</v>
      </c>
      <c r="B3" s="3" t="s">
        <v>10</v>
      </c>
      <c r="C3" s="3" t="s">
        <v>13</v>
      </c>
      <c r="D3" s="3" t="s">
        <v>14</v>
      </c>
      <c r="E3" s="3">
        <v>1681.21</v>
      </c>
      <c r="F3" s="3">
        <v>5</v>
      </c>
      <c r="G3" s="3">
        <v>0.2</v>
      </c>
      <c r="H3" s="4">
        <v>45670</v>
      </c>
      <c r="I3" s="3">
        <f>Table2[[#This Row],[Sales]]-Table2[[#This Row],[Sales]]*Table2[[#This Row],[Discount]]</f>
        <v>1344.9680000000001</v>
      </c>
      <c r="J3" s="5">
        <f t="shared" ca="1" si="0"/>
        <v>45985.797457870372</v>
      </c>
      <c r="M3" s="6" t="s">
        <v>76</v>
      </c>
      <c r="N3" s="7"/>
      <c r="O3" s="7"/>
      <c r="P3" s="7"/>
      <c r="Q3" s="7"/>
      <c r="R3" s="7"/>
      <c r="S3" s="7"/>
      <c r="T3" s="7"/>
      <c r="U3" s="8"/>
    </row>
    <row r="4" spans="1:21" ht="15" thickBot="1" x14ac:dyDescent="0.35">
      <c r="A4" s="3" t="s">
        <v>15</v>
      </c>
      <c r="B4" s="3" t="s">
        <v>16</v>
      </c>
      <c r="C4" s="3" t="s">
        <v>13</v>
      </c>
      <c r="D4" s="3" t="s">
        <v>12</v>
      </c>
      <c r="E4" s="3">
        <v>1622.62</v>
      </c>
      <c r="F4" s="3">
        <v>12</v>
      </c>
      <c r="G4" s="3">
        <v>0.2</v>
      </c>
      <c r="H4" s="4">
        <v>45677</v>
      </c>
      <c r="I4" s="3">
        <f>Table2[[#This Row],[Sales]]-Table2[[#This Row],[Sales]]*Table2[[#This Row],[Discount]]</f>
        <v>1298.096</v>
      </c>
      <c r="J4" s="5">
        <f t="shared" ca="1" si="0"/>
        <v>45985.797457870372</v>
      </c>
      <c r="M4" s="6"/>
      <c r="N4" s="7"/>
      <c r="O4" s="7"/>
      <c r="P4" s="7"/>
      <c r="Q4" s="7"/>
      <c r="R4" s="7"/>
      <c r="S4" s="7"/>
      <c r="T4" s="7"/>
      <c r="U4" s="8"/>
    </row>
    <row r="5" spans="1:21" x14ac:dyDescent="0.3">
      <c r="A5" s="3" t="s">
        <v>17</v>
      </c>
      <c r="B5" s="3" t="s">
        <v>18</v>
      </c>
      <c r="C5" s="3" t="s">
        <v>19</v>
      </c>
      <c r="D5" s="3" t="s">
        <v>20</v>
      </c>
      <c r="E5" s="3">
        <v>1618.22</v>
      </c>
      <c r="F5" s="3">
        <v>12</v>
      </c>
      <c r="G5" s="3">
        <v>0.2</v>
      </c>
      <c r="H5" s="4">
        <v>45712</v>
      </c>
      <c r="I5" s="3">
        <f>Table2[[#This Row],[Sales]]-Table2[[#This Row],[Sales]]*Table2[[#This Row],[Discount]]</f>
        <v>1294.576</v>
      </c>
      <c r="J5" s="5">
        <f t="shared" ca="1" si="0"/>
        <v>45985.797457870372</v>
      </c>
      <c r="M5" s="9" t="s">
        <v>77</v>
      </c>
      <c r="N5" s="10"/>
      <c r="O5" s="7"/>
      <c r="P5" s="7"/>
      <c r="Q5" s="7"/>
      <c r="R5" s="7"/>
      <c r="S5" s="7"/>
      <c r="T5" s="7"/>
      <c r="U5" s="8"/>
    </row>
    <row r="6" spans="1:21" x14ac:dyDescent="0.3">
      <c r="A6" s="3" t="s">
        <v>21</v>
      </c>
      <c r="B6" s="3" t="s">
        <v>22</v>
      </c>
      <c r="C6" s="3" t="s">
        <v>13</v>
      </c>
      <c r="D6" s="3" t="s">
        <v>12</v>
      </c>
      <c r="E6" s="3">
        <v>1589.42</v>
      </c>
      <c r="F6" s="3">
        <v>6</v>
      </c>
      <c r="G6" s="3">
        <v>0.2</v>
      </c>
      <c r="H6" s="4">
        <v>45651</v>
      </c>
      <c r="I6" s="3">
        <f>Table2[[#This Row],[Sales]]-Table2[[#This Row],[Sales]]*Table2[[#This Row],[Discount]]</f>
        <v>1271.5360000000001</v>
      </c>
      <c r="J6" s="5">
        <f t="shared" ca="1" si="0"/>
        <v>45985.797457870372</v>
      </c>
      <c r="M6" s="6" t="s">
        <v>78</v>
      </c>
      <c r="N6" s="7">
        <v>0.77340306414342641</v>
      </c>
      <c r="O6" s="7"/>
      <c r="P6" s="7"/>
      <c r="Q6" s="7"/>
      <c r="R6" s="7"/>
      <c r="S6" s="7"/>
      <c r="T6" s="7"/>
      <c r="U6" s="8"/>
    </row>
    <row r="7" spans="1:21" x14ac:dyDescent="0.3">
      <c r="A7" s="3" t="s">
        <v>23</v>
      </c>
      <c r="B7" s="3" t="s">
        <v>24</v>
      </c>
      <c r="C7" s="3" t="s">
        <v>11</v>
      </c>
      <c r="D7" s="3" t="s">
        <v>20</v>
      </c>
      <c r="E7" s="3">
        <v>1572.82</v>
      </c>
      <c r="F7" s="3">
        <v>6</v>
      </c>
      <c r="G7" s="3">
        <v>0.2</v>
      </c>
      <c r="H7" s="4">
        <v>45402</v>
      </c>
      <c r="I7" s="3">
        <f>Table2[[#This Row],[Sales]]-Table2[[#This Row],[Sales]]*Table2[[#This Row],[Discount]]</f>
        <v>1258.2559999999999</v>
      </c>
      <c r="J7" s="5">
        <f t="shared" ca="1" si="0"/>
        <v>45985.797457870372</v>
      </c>
      <c r="M7" s="6" t="s">
        <v>79</v>
      </c>
      <c r="N7" s="7">
        <v>0.5981522996264409</v>
      </c>
      <c r="O7" s="7"/>
      <c r="P7" s="7"/>
      <c r="Q7" s="7"/>
      <c r="R7" s="7"/>
      <c r="S7" s="7"/>
      <c r="T7" s="7"/>
      <c r="U7" s="8"/>
    </row>
    <row r="8" spans="1:21" x14ac:dyDescent="0.3">
      <c r="A8" s="3" t="s">
        <v>15</v>
      </c>
      <c r="B8" s="3" t="s">
        <v>24</v>
      </c>
      <c r="C8" s="3" t="s">
        <v>11</v>
      </c>
      <c r="D8" s="3" t="s">
        <v>14</v>
      </c>
      <c r="E8" s="3">
        <v>1526.6</v>
      </c>
      <c r="F8" s="3">
        <v>13</v>
      </c>
      <c r="G8" s="3">
        <v>0.2</v>
      </c>
      <c r="H8" s="4">
        <v>45512</v>
      </c>
      <c r="I8" s="3">
        <f>Table2[[#This Row],[Sales]]-Table2[[#This Row],[Sales]]*Table2[[#This Row],[Discount]]</f>
        <v>1221.28</v>
      </c>
      <c r="J8" s="5">
        <f t="shared" ca="1" si="0"/>
        <v>45985.797457870372</v>
      </c>
      <c r="M8" s="6" t="s">
        <v>80</v>
      </c>
      <c r="N8" s="7">
        <v>0.59612276578617041</v>
      </c>
      <c r="O8" s="7"/>
      <c r="P8" s="7"/>
      <c r="Q8" s="7"/>
      <c r="R8" s="7"/>
      <c r="S8" s="7"/>
      <c r="T8" s="7"/>
      <c r="U8" s="8"/>
    </row>
    <row r="9" spans="1:21" x14ac:dyDescent="0.3">
      <c r="A9" s="3" t="s">
        <v>25</v>
      </c>
      <c r="B9" s="3" t="s">
        <v>18</v>
      </c>
      <c r="C9" s="3" t="s">
        <v>11</v>
      </c>
      <c r="D9" s="3" t="s">
        <v>26</v>
      </c>
      <c r="E9" s="3">
        <v>1506.14</v>
      </c>
      <c r="F9" s="3">
        <v>13</v>
      </c>
      <c r="G9" s="3">
        <v>0.2</v>
      </c>
      <c r="H9" s="4">
        <v>45412</v>
      </c>
      <c r="I9" s="3">
        <f>Table2[[#This Row],[Sales]]-Table2[[#This Row],[Sales]]*Table2[[#This Row],[Discount]]</f>
        <v>1204.912</v>
      </c>
      <c r="J9" s="5">
        <f t="shared" ca="1" si="0"/>
        <v>45985.797457870372</v>
      </c>
      <c r="M9" s="6" t="s">
        <v>81</v>
      </c>
      <c r="N9" s="7">
        <v>86.281230529665123</v>
      </c>
      <c r="O9" s="7"/>
      <c r="P9" s="7"/>
      <c r="Q9" s="7"/>
      <c r="R9" s="7"/>
      <c r="S9" s="7"/>
      <c r="T9" s="7"/>
      <c r="U9" s="8"/>
    </row>
    <row r="10" spans="1:21" ht="15" thickBot="1" x14ac:dyDescent="0.35">
      <c r="A10" s="3" t="s">
        <v>27</v>
      </c>
      <c r="B10" s="3" t="s">
        <v>28</v>
      </c>
      <c r="C10" s="3" t="s">
        <v>29</v>
      </c>
      <c r="D10" s="3" t="s">
        <v>14</v>
      </c>
      <c r="E10" s="3">
        <v>1502.93</v>
      </c>
      <c r="F10" s="3">
        <v>14</v>
      </c>
      <c r="G10" s="3">
        <v>0.2</v>
      </c>
      <c r="H10" s="4">
        <v>45410</v>
      </c>
      <c r="I10" s="3">
        <f>Table2[[#This Row],[Sales]]-Table2[[#This Row],[Sales]]*Table2[[#This Row],[Discount]]</f>
        <v>1202.3440000000001</v>
      </c>
      <c r="J10" s="5">
        <f t="shared" ca="1" si="0"/>
        <v>45985.797457870372</v>
      </c>
      <c r="M10" s="11" t="s">
        <v>82</v>
      </c>
      <c r="N10" s="12">
        <v>200</v>
      </c>
      <c r="O10" s="7"/>
      <c r="P10" s="7"/>
      <c r="Q10" s="7"/>
      <c r="R10" s="7"/>
      <c r="S10" s="7"/>
      <c r="T10" s="7"/>
      <c r="U10" s="8"/>
    </row>
    <row r="11" spans="1:21" x14ac:dyDescent="0.3">
      <c r="A11" s="3" t="s">
        <v>30</v>
      </c>
      <c r="B11" s="3" t="s">
        <v>31</v>
      </c>
      <c r="C11" s="3" t="s">
        <v>11</v>
      </c>
      <c r="D11" s="3" t="s">
        <v>12</v>
      </c>
      <c r="E11" s="3">
        <v>1493.49</v>
      </c>
      <c r="F11" s="3">
        <v>18</v>
      </c>
      <c r="G11" s="3">
        <v>0.2</v>
      </c>
      <c r="H11" s="4">
        <v>45734</v>
      </c>
      <c r="I11" s="3">
        <f>Table2[[#This Row],[Sales]]-Table2[[#This Row],[Sales]]*Table2[[#This Row],[Discount]]</f>
        <v>1194.7919999999999</v>
      </c>
      <c r="J11" s="5">
        <f t="shared" ca="1" si="0"/>
        <v>45985.797457870372</v>
      </c>
      <c r="M11" s="6"/>
      <c r="N11" s="7"/>
      <c r="O11" s="7"/>
      <c r="P11" s="7"/>
      <c r="Q11" s="7"/>
      <c r="R11" s="7"/>
      <c r="S11" s="7"/>
      <c r="T11" s="7"/>
      <c r="U11" s="8"/>
    </row>
    <row r="12" spans="1:21" ht="15" thickBot="1" x14ac:dyDescent="0.35">
      <c r="A12" s="3" t="s">
        <v>32</v>
      </c>
      <c r="B12" s="3" t="s">
        <v>33</v>
      </c>
      <c r="C12" s="3" t="s">
        <v>19</v>
      </c>
      <c r="D12" s="3" t="s">
        <v>14</v>
      </c>
      <c r="E12" s="3">
        <v>1488.58</v>
      </c>
      <c r="F12" s="3">
        <v>10</v>
      </c>
      <c r="G12" s="3">
        <v>0.2</v>
      </c>
      <c r="H12" s="4">
        <v>45640</v>
      </c>
      <c r="I12" s="3">
        <f>Table2[[#This Row],[Sales]]-Table2[[#This Row],[Sales]]*Table2[[#This Row],[Discount]]</f>
        <v>1190.864</v>
      </c>
      <c r="J12" s="5">
        <f t="shared" ca="1" si="0"/>
        <v>45985.797457870372</v>
      </c>
      <c r="M12" s="6" t="s">
        <v>83</v>
      </c>
      <c r="N12" s="7"/>
      <c r="O12" s="7"/>
      <c r="P12" s="7"/>
      <c r="Q12" s="7"/>
      <c r="R12" s="7"/>
      <c r="S12" s="7"/>
      <c r="T12" s="7"/>
      <c r="U12" s="8"/>
    </row>
    <row r="13" spans="1:21" x14ac:dyDescent="0.3">
      <c r="A13" s="3" t="s">
        <v>15</v>
      </c>
      <c r="B13" s="3" t="s">
        <v>34</v>
      </c>
      <c r="C13" s="3" t="s">
        <v>19</v>
      </c>
      <c r="D13" s="3" t="s">
        <v>12</v>
      </c>
      <c r="E13" s="3">
        <v>1465.35</v>
      </c>
      <c r="F13" s="3">
        <v>8</v>
      </c>
      <c r="G13" s="3">
        <v>0.2</v>
      </c>
      <c r="H13" s="4">
        <v>45746</v>
      </c>
      <c r="I13" s="3">
        <f>Table2[[#This Row],[Sales]]-Table2[[#This Row],[Sales]]*Table2[[#This Row],[Discount]]</f>
        <v>1172.28</v>
      </c>
      <c r="J13" s="5">
        <f t="shared" ca="1" si="0"/>
        <v>45985.797457870372</v>
      </c>
      <c r="M13" s="13"/>
      <c r="N13" s="14" t="s">
        <v>88</v>
      </c>
      <c r="O13" s="14" t="s">
        <v>89</v>
      </c>
      <c r="P13" s="14" t="s">
        <v>90</v>
      </c>
      <c r="Q13" s="14" t="s">
        <v>91</v>
      </c>
      <c r="R13" s="14" t="s">
        <v>92</v>
      </c>
      <c r="S13" s="7"/>
      <c r="T13" s="7"/>
      <c r="U13" s="8"/>
    </row>
    <row r="14" spans="1:21" x14ac:dyDescent="0.3">
      <c r="A14" s="3" t="s">
        <v>35</v>
      </c>
      <c r="B14" s="3" t="s">
        <v>36</v>
      </c>
      <c r="C14" s="3" t="s">
        <v>19</v>
      </c>
      <c r="D14" s="3" t="s">
        <v>12</v>
      </c>
      <c r="E14" s="3">
        <v>1456.94</v>
      </c>
      <c r="F14" s="3">
        <v>14</v>
      </c>
      <c r="G14" s="3">
        <v>0.2</v>
      </c>
      <c r="H14" s="4">
        <v>45745</v>
      </c>
      <c r="I14" s="3">
        <f>Table2[[#This Row],[Sales]]-Table2[[#This Row],[Sales]]*Table2[[#This Row],[Discount]]</f>
        <v>1165.5520000000001</v>
      </c>
      <c r="J14" s="5">
        <f t="shared" ca="1" si="0"/>
        <v>45985.797457870372</v>
      </c>
      <c r="M14" s="6" t="s">
        <v>84</v>
      </c>
      <c r="N14" s="7">
        <v>1</v>
      </c>
      <c r="O14" s="7">
        <v>2194058.183340284</v>
      </c>
      <c r="P14" s="7">
        <v>2194058.183340284</v>
      </c>
      <c r="Q14" s="7">
        <v>294.72398427548171</v>
      </c>
      <c r="R14" s="7">
        <v>4.6269367558905227E-41</v>
      </c>
      <c r="S14" s="7"/>
      <c r="T14" s="7"/>
      <c r="U14" s="8"/>
    </row>
    <row r="15" spans="1:21" x14ac:dyDescent="0.3">
      <c r="A15" s="3" t="s">
        <v>37</v>
      </c>
      <c r="B15" s="3" t="s">
        <v>31</v>
      </c>
      <c r="C15" s="3" t="s">
        <v>13</v>
      </c>
      <c r="D15" s="3" t="s">
        <v>14</v>
      </c>
      <c r="E15" s="3">
        <v>1450.71</v>
      </c>
      <c r="F15" s="3">
        <v>5</v>
      </c>
      <c r="G15" s="3">
        <v>0.2</v>
      </c>
      <c r="H15" s="4">
        <v>45427</v>
      </c>
      <c r="I15" s="3">
        <f>Table2[[#This Row],[Sales]]-Table2[[#This Row],[Sales]]*Table2[[#This Row],[Discount]]</f>
        <v>1160.568</v>
      </c>
      <c r="J15" s="5">
        <f t="shared" ca="1" si="0"/>
        <v>45985.797457870372</v>
      </c>
      <c r="M15" s="6" t="s">
        <v>85</v>
      </c>
      <c r="N15" s="7">
        <v>198</v>
      </c>
      <c r="O15" s="7">
        <v>1474001.2468592168</v>
      </c>
      <c r="P15" s="7">
        <v>7444.4507417132163</v>
      </c>
      <c r="Q15" s="7"/>
      <c r="R15" s="7"/>
      <c r="S15" s="7"/>
      <c r="T15" s="7"/>
      <c r="U15" s="8"/>
    </row>
    <row r="16" spans="1:21" ht="15" thickBot="1" x14ac:dyDescent="0.35">
      <c r="A16" s="3" t="s">
        <v>21</v>
      </c>
      <c r="B16" s="3" t="s">
        <v>38</v>
      </c>
      <c r="C16" s="3" t="s">
        <v>11</v>
      </c>
      <c r="D16" s="3" t="s">
        <v>20</v>
      </c>
      <c r="E16" s="3">
        <v>1443.98</v>
      </c>
      <c r="F16" s="3">
        <v>19</v>
      </c>
      <c r="G16" s="3">
        <v>0.2</v>
      </c>
      <c r="H16" s="4">
        <v>45547</v>
      </c>
      <c r="I16" s="3">
        <f>Table2[[#This Row],[Sales]]-Table2[[#This Row],[Sales]]*Table2[[#This Row],[Discount]]</f>
        <v>1155.184</v>
      </c>
      <c r="J16" s="5">
        <f t="shared" ca="1" si="0"/>
        <v>45985.797457870372</v>
      </c>
      <c r="M16" s="11" t="s">
        <v>86</v>
      </c>
      <c r="N16" s="12">
        <v>199</v>
      </c>
      <c r="O16" s="12">
        <v>3668059.4301995011</v>
      </c>
      <c r="P16" s="12"/>
      <c r="Q16" s="12"/>
      <c r="R16" s="12"/>
      <c r="S16" s="7"/>
      <c r="T16" s="7"/>
      <c r="U16" s="8"/>
    </row>
    <row r="17" spans="1:21" x14ac:dyDescent="0.3">
      <c r="A17" s="3" t="s">
        <v>39</v>
      </c>
      <c r="B17" s="3" t="s">
        <v>40</v>
      </c>
      <c r="C17" s="3" t="s">
        <v>19</v>
      </c>
      <c r="D17" s="3" t="s">
        <v>41</v>
      </c>
      <c r="E17" s="3">
        <v>1432.47</v>
      </c>
      <c r="F17" s="3">
        <v>16</v>
      </c>
      <c r="G17" s="3">
        <v>0.2</v>
      </c>
      <c r="H17" s="4">
        <v>45640</v>
      </c>
      <c r="I17" s="3">
        <f>Table2[[#This Row],[Sales]]-Table2[[#This Row],[Sales]]*Table2[[#This Row],[Discount]]</f>
        <v>1145.9760000000001</v>
      </c>
      <c r="J17" s="5">
        <f t="shared" ca="1" si="0"/>
        <v>45985.797457870372</v>
      </c>
      <c r="M17" s="6"/>
      <c r="N17" s="7"/>
      <c r="O17" s="7"/>
      <c r="P17" s="7"/>
      <c r="Q17" s="7"/>
      <c r="R17" s="7"/>
      <c r="S17" s="7"/>
      <c r="T17" s="7"/>
      <c r="U17" s="8"/>
    </row>
    <row r="18" spans="1:21" x14ac:dyDescent="0.3">
      <c r="A18" s="3" t="s">
        <v>17</v>
      </c>
      <c r="B18" s="3" t="s">
        <v>42</v>
      </c>
      <c r="C18" s="3" t="s">
        <v>43</v>
      </c>
      <c r="D18" s="3" t="s">
        <v>14</v>
      </c>
      <c r="E18" s="3">
        <v>1410.59</v>
      </c>
      <c r="F18" s="3">
        <v>15</v>
      </c>
      <c r="G18" s="3">
        <v>0.2</v>
      </c>
      <c r="H18" s="4">
        <v>45615</v>
      </c>
      <c r="I18" s="3">
        <f>Table2[[#This Row],[Sales]]-Table2[[#This Row],[Sales]]*Table2[[#This Row],[Discount]]</f>
        <v>1128.472</v>
      </c>
      <c r="J18" s="5">
        <f t="shared" ca="1" si="0"/>
        <v>45985.797457870372</v>
      </c>
      <c r="M18" s="6"/>
      <c r="N18" s="7" t="s">
        <v>93</v>
      </c>
      <c r="O18" s="7" t="s">
        <v>81</v>
      </c>
      <c r="P18" s="7" t="s">
        <v>94</v>
      </c>
      <c r="Q18" s="7" t="s">
        <v>95</v>
      </c>
      <c r="R18" s="7" t="s">
        <v>96</v>
      </c>
      <c r="S18" s="7" t="s">
        <v>97</v>
      </c>
      <c r="T18" s="7" t="s">
        <v>98</v>
      </c>
      <c r="U18" s="8" t="s">
        <v>99</v>
      </c>
    </row>
    <row r="19" spans="1:21" x14ac:dyDescent="0.3">
      <c r="A19" s="3" t="s">
        <v>44</v>
      </c>
      <c r="B19" s="3" t="s">
        <v>45</v>
      </c>
      <c r="C19" s="3" t="s">
        <v>19</v>
      </c>
      <c r="D19" s="3" t="s">
        <v>41</v>
      </c>
      <c r="E19" s="3">
        <v>1410.06</v>
      </c>
      <c r="F19" s="3">
        <v>11</v>
      </c>
      <c r="G19" s="3">
        <v>0.2</v>
      </c>
      <c r="H19" s="4">
        <v>45434</v>
      </c>
      <c r="I19" s="3">
        <f>Table2[[#This Row],[Sales]]-Table2[[#This Row],[Sales]]*Table2[[#This Row],[Discount]]</f>
        <v>1128.048</v>
      </c>
      <c r="J19" s="5">
        <f t="shared" ca="1" si="0"/>
        <v>45985.797457870372</v>
      </c>
      <c r="M19" s="6" t="s">
        <v>87</v>
      </c>
      <c r="N19" s="7">
        <v>-1.0315504901910799</v>
      </c>
      <c r="O19" s="7">
        <v>20.860617005445494</v>
      </c>
      <c r="P19" s="7">
        <v>-4.944966344580326E-2</v>
      </c>
      <c r="Q19" s="7">
        <v>0.9606107969690767</v>
      </c>
      <c r="R19" s="7">
        <v>-42.169051823378886</v>
      </c>
      <c r="S19" s="7">
        <v>40.105950842996727</v>
      </c>
      <c r="T19" s="7">
        <v>-42.169051823378886</v>
      </c>
      <c r="U19" s="8">
        <v>40.105950842996727</v>
      </c>
    </row>
    <row r="20" spans="1:21" x14ac:dyDescent="0.3">
      <c r="A20" s="3" t="s">
        <v>46</v>
      </c>
      <c r="B20" s="3" t="s">
        <v>22</v>
      </c>
      <c r="C20" s="3" t="s">
        <v>43</v>
      </c>
      <c r="D20" s="3" t="s">
        <v>26</v>
      </c>
      <c r="E20" s="3">
        <v>1383.3</v>
      </c>
      <c r="F20" s="3">
        <v>8</v>
      </c>
      <c r="G20" s="3">
        <v>0.2</v>
      </c>
      <c r="H20" s="4">
        <v>45478</v>
      </c>
      <c r="I20" s="3">
        <f>Table2[[#This Row],[Sales]]-Table2[[#This Row],[Sales]]*Table2[[#This Row],[Discount]]</f>
        <v>1106.6399999999999</v>
      </c>
      <c r="J20" s="5">
        <f t="shared" ca="1" si="0"/>
        <v>45985.797457870372</v>
      </c>
      <c r="M20" s="15" t="s">
        <v>100</v>
      </c>
      <c r="N20" s="16">
        <v>0.35085598819512243</v>
      </c>
      <c r="O20" s="16">
        <v>2.0437188630135616E-2</v>
      </c>
      <c r="P20" s="16">
        <v>17.167527028535051</v>
      </c>
      <c r="Q20" s="16">
        <v>4.6269367558907205E-41</v>
      </c>
      <c r="R20" s="16">
        <v>0.31055349501865753</v>
      </c>
      <c r="S20" s="16">
        <v>0.39115848137158732</v>
      </c>
      <c r="T20" s="16">
        <v>0.31055349501865753</v>
      </c>
      <c r="U20" s="17">
        <v>0.39115848137158732</v>
      </c>
    </row>
    <row r="21" spans="1:21" x14ac:dyDescent="0.3">
      <c r="A21" s="3" t="s">
        <v>47</v>
      </c>
      <c r="B21" s="3" t="s">
        <v>31</v>
      </c>
      <c r="C21" s="3" t="s">
        <v>11</v>
      </c>
      <c r="D21" s="3" t="s">
        <v>41</v>
      </c>
      <c r="E21" s="3">
        <v>1371.34</v>
      </c>
      <c r="F21" s="3">
        <v>5</v>
      </c>
      <c r="G21" s="3">
        <v>0.2</v>
      </c>
      <c r="H21" s="4">
        <v>45488</v>
      </c>
      <c r="I21" s="3">
        <f>Table2[[#This Row],[Sales]]-Table2[[#This Row],[Sales]]*Table2[[#This Row],[Discount]]</f>
        <v>1097.0719999999999</v>
      </c>
      <c r="J21" s="5">
        <f t="shared" ca="1" si="0"/>
        <v>45985.797457870372</v>
      </c>
    </row>
    <row r="22" spans="1:21" x14ac:dyDescent="0.3">
      <c r="A22" s="3" t="s">
        <v>48</v>
      </c>
      <c r="B22" s="3" t="s">
        <v>49</v>
      </c>
      <c r="C22" s="3" t="s">
        <v>11</v>
      </c>
      <c r="D22" s="3" t="s">
        <v>12</v>
      </c>
      <c r="E22" s="3">
        <v>1360.36</v>
      </c>
      <c r="F22" s="3">
        <v>17</v>
      </c>
      <c r="G22" s="3">
        <v>0.2</v>
      </c>
      <c r="H22" s="4">
        <v>45473</v>
      </c>
      <c r="I22" s="3">
        <f>Table2[[#This Row],[Sales]]-Table2[[#This Row],[Sales]]*Table2[[#This Row],[Discount]]</f>
        <v>1088.288</v>
      </c>
      <c r="J22" s="5">
        <f t="shared" ca="1" si="0"/>
        <v>45985.797457870372</v>
      </c>
    </row>
    <row r="23" spans="1:21" ht="14.4" customHeight="1" x14ac:dyDescent="0.3">
      <c r="A23" s="3" t="s">
        <v>50</v>
      </c>
      <c r="B23" s="3" t="s">
        <v>10</v>
      </c>
      <c r="C23" s="3" t="s">
        <v>11</v>
      </c>
      <c r="D23" s="3" t="s">
        <v>26</v>
      </c>
      <c r="E23" s="3">
        <v>1353.79</v>
      </c>
      <c r="F23" s="3">
        <v>14</v>
      </c>
      <c r="G23" s="3">
        <v>0.2</v>
      </c>
      <c r="H23" s="4">
        <v>45656</v>
      </c>
      <c r="I23" s="3">
        <f>Table2[[#This Row],[Sales]]-Table2[[#This Row],[Sales]]*Table2[[#This Row],[Discount]]</f>
        <v>1083.0319999999999</v>
      </c>
      <c r="J23" s="5">
        <f t="shared" ca="1" si="0"/>
        <v>45985.797457870372</v>
      </c>
      <c r="M23" s="53" t="s">
        <v>102</v>
      </c>
      <c r="N23" s="53"/>
      <c r="P23" s="25" t="s">
        <v>123</v>
      </c>
      <c r="Q23" t="s">
        <v>125</v>
      </c>
      <c r="S23" s="54" t="s">
        <v>118</v>
      </c>
      <c r="T23" s="55"/>
      <c r="U23" s="55"/>
    </row>
    <row r="24" spans="1:21" ht="14.4" customHeight="1" x14ac:dyDescent="0.3">
      <c r="A24" s="3" t="s">
        <v>51</v>
      </c>
      <c r="B24" s="3" t="s">
        <v>52</v>
      </c>
      <c r="C24" s="3" t="s">
        <v>29</v>
      </c>
      <c r="D24" s="3" t="s">
        <v>41</v>
      </c>
      <c r="E24" s="3">
        <v>1350.33</v>
      </c>
      <c r="F24" s="3">
        <v>10</v>
      </c>
      <c r="G24" s="3">
        <v>0.2</v>
      </c>
      <c r="H24" s="4">
        <v>45615</v>
      </c>
      <c r="I24" s="3">
        <f>Table2[[#This Row],[Sales]]-Table2[[#This Row],[Sales]]*Table2[[#This Row],[Discount]]</f>
        <v>1080.2639999999999</v>
      </c>
      <c r="J24" s="5">
        <f t="shared" ca="1" si="0"/>
        <v>45985.797457870372</v>
      </c>
      <c r="M24" s="18" t="s">
        <v>103</v>
      </c>
      <c r="N24" s="18">
        <v>976.08879999999988</v>
      </c>
      <c r="P24" s="26" t="s">
        <v>19</v>
      </c>
      <c r="Q24" s="79">
        <v>43468.329999999994</v>
      </c>
      <c r="S24" s="55"/>
      <c r="T24" s="55"/>
      <c r="U24" s="55"/>
    </row>
    <row r="25" spans="1:21" x14ac:dyDescent="0.3">
      <c r="A25" s="3" t="s">
        <v>23</v>
      </c>
      <c r="B25" s="3" t="s">
        <v>34</v>
      </c>
      <c r="C25" s="3" t="s">
        <v>19</v>
      </c>
      <c r="D25" s="3" t="s">
        <v>26</v>
      </c>
      <c r="E25" s="3">
        <v>1343.13</v>
      </c>
      <c r="F25" s="3">
        <v>14</v>
      </c>
      <c r="G25" s="3">
        <v>0.2</v>
      </c>
      <c r="H25" s="4">
        <v>45404</v>
      </c>
      <c r="I25" s="3">
        <f>Table2[[#This Row],[Sales]]-Table2[[#This Row],[Sales]]*Table2[[#This Row],[Discount]]</f>
        <v>1074.5040000000001</v>
      </c>
      <c r="J25" s="5">
        <f t="shared" ca="1" si="0"/>
        <v>45985.797457870372</v>
      </c>
      <c r="M25" s="18" t="s">
        <v>81</v>
      </c>
      <c r="N25" s="18">
        <v>21.161850448978299</v>
      </c>
      <c r="P25" s="26" t="s">
        <v>43</v>
      </c>
      <c r="Q25" s="79">
        <v>32441.640000000003</v>
      </c>
      <c r="S25" s="21" t="s">
        <v>119</v>
      </c>
      <c r="T25" s="21" t="s">
        <v>120</v>
      </c>
      <c r="U25" s="21" t="s">
        <v>121</v>
      </c>
    </row>
    <row r="26" spans="1:21" x14ac:dyDescent="0.3">
      <c r="A26" s="3" t="s">
        <v>53</v>
      </c>
      <c r="B26" s="3" t="s">
        <v>54</v>
      </c>
      <c r="C26" s="3" t="s">
        <v>29</v>
      </c>
      <c r="D26" s="3" t="s">
        <v>14</v>
      </c>
      <c r="E26" s="3">
        <v>1335.87</v>
      </c>
      <c r="F26" s="3">
        <v>17</v>
      </c>
      <c r="G26" s="3">
        <v>0.2</v>
      </c>
      <c r="H26" s="4">
        <v>45544</v>
      </c>
      <c r="I26" s="3">
        <f>Table2[[#This Row],[Sales]]-Table2[[#This Row],[Sales]]*Table2[[#This Row],[Discount]]</f>
        <v>1068.6959999999999</v>
      </c>
      <c r="J26" s="5">
        <f t="shared" ca="1" si="0"/>
        <v>45985.797457870372</v>
      </c>
      <c r="M26" s="18" t="s">
        <v>104</v>
      </c>
      <c r="N26" s="18">
        <v>976.72</v>
      </c>
      <c r="P26" s="26" t="s">
        <v>13</v>
      </c>
      <c r="Q26" s="79">
        <v>34975.42</v>
      </c>
      <c r="S26" s="22">
        <v>45658</v>
      </c>
      <c r="T26" s="23">
        <f>SUMIFS([1]Dataset!$E:$E, [1]Dataset!$H:$H, "&gt;="&amp;DATE(2025,1,1), [1]Dataset!$H:$H, "&lt;="&amp;EOMONTH(DATE(2025,1,1),0))</f>
        <v>14914.65</v>
      </c>
      <c r="U26" s="23">
        <f>IF(T26=0, 0, (T27-T26)/T26)</f>
        <v>-6.0899183018039371E-2</v>
      </c>
    </row>
    <row r="27" spans="1:21" x14ac:dyDescent="0.3">
      <c r="A27" s="3" t="s">
        <v>39</v>
      </c>
      <c r="B27" s="3" t="s">
        <v>33</v>
      </c>
      <c r="C27" s="3" t="s">
        <v>11</v>
      </c>
      <c r="D27" s="3" t="s">
        <v>14</v>
      </c>
      <c r="E27" s="3">
        <v>1317.53</v>
      </c>
      <c r="F27" s="3">
        <v>12</v>
      </c>
      <c r="G27" s="3">
        <v>0.2</v>
      </c>
      <c r="H27" s="4">
        <v>45398</v>
      </c>
      <c r="I27" s="3">
        <f>Table2[[#This Row],[Sales]]-Table2[[#This Row],[Sales]]*Table2[[#This Row],[Discount]]</f>
        <v>1054.0239999999999</v>
      </c>
      <c r="J27" s="5">
        <f t="shared" ca="1" si="0"/>
        <v>45985.797457870372</v>
      </c>
      <c r="M27" s="18" t="s">
        <v>105</v>
      </c>
      <c r="N27" s="18" t="e">
        <v>#N/A</v>
      </c>
      <c r="P27" s="26" t="s">
        <v>29</v>
      </c>
      <c r="Q27" s="79">
        <v>40248.79</v>
      </c>
      <c r="S27" s="22">
        <v>45689</v>
      </c>
      <c r="T27" s="23">
        <f>SUMIFS([1]Dataset!$E:$E, [1]Dataset!$H:$H, "&gt;="&amp;DATE(2025,2,1), [1]Dataset!$H:$H, "&lt;="&amp;EOMONTH(DATE(2025,2,1),0))</f>
        <v>14006.359999999999</v>
      </c>
      <c r="U27" s="23">
        <f t="shared" ref="U27:U37" si="1">IF(T27=0, 0, (T28-T27)/T27)</f>
        <v>0.26051450912299834</v>
      </c>
    </row>
    <row r="28" spans="1:21" x14ac:dyDescent="0.3">
      <c r="A28" s="3" t="s">
        <v>21</v>
      </c>
      <c r="B28" s="3" t="s">
        <v>54</v>
      </c>
      <c r="C28" s="3" t="s">
        <v>43</v>
      </c>
      <c r="D28" s="3" t="s">
        <v>20</v>
      </c>
      <c r="E28" s="3">
        <v>1311.26</v>
      </c>
      <c r="F28" s="3">
        <v>6</v>
      </c>
      <c r="G28" s="3">
        <v>0.2</v>
      </c>
      <c r="H28" s="4">
        <v>45698</v>
      </c>
      <c r="I28" s="3">
        <f>Table2[[#This Row],[Sales]]-Table2[[#This Row],[Sales]]*Table2[[#This Row],[Discount]]</f>
        <v>1049.008</v>
      </c>
      <c r="J28" s="5">
        <f t="shared" ca="1" si="0"/>
        <v>45985.797457870372</v>
      </c>
      <c r="M28" s="18" t="s">
        <v>106</v>
      </c>
      <c r="N28" s="18">
        <v>299.27375909856283</v>
      </c>
      <c r="P28" s="26" t="s">
        <v>11</v>
      </c>
      <c r="Q28" s="79">
        <v>44083.580000000009</v>
      </c>
      <c r="S28" s="22">
        <v>45717</v>
      </c>
      <c r="T28" s="23">
        <f>SUMIFS([1]Dataset!$E:$E, [1]Dataset!$H:$H, "&gt;="&amp;DATE(2025,3,1), [1]Dataset!$H:$H, "&lt;="&amp;EOMONTH(DATE(2025,3,1),0))</f>
        <v>17655.219999999998</v>
      </c>
      <c r="U28" s="23">
        <f t="shared" si="1"/>
        <v>7.7865922939504881E-2</v>
      </c>
    </row>
    <row r="29" spans="1:21" x14ac:dyDescent="0.3">
      <c r="A29" s="3" t="s">
        <v>55</v>
      </c>
      <c r="B29" s="3" t="s">
        <v>56</v>
      </c>
      <c r="C29" s="3" t="s">
        <v>19</v>
      </c>
      <c r="D29" s="3" t="s">
        <v>12</v>
      </c>
      <c r="E29" s="3">
        <v>1301.8900000000001</v>
      </c>
      <c r="F29" s="3">
        <v>7</v>
      </c>
      <c r="G29" s="3">
        <v>0.2</v>
      </c>
      <c r="H29" s="4">
        <v>45581</v>
      </c>
      <c r="I29" s="3">
        <f>Table2[[#This Row],[Sales]]-Table2[[#This Row],[Sales]]*Table2[[#This Row],[Discount]]</f>
        <v>1041.5120000000002</v>
      </c>
      <c r="J29" s="5">
        <f t="shared" ca="1" si="0"/>
        <v>45985.797457870372</v>
      </c>
      <c r="M29" s="18" t="s">
        <v>107</v>
      </c>
      <c r="N29" s="18">
        <v>89564.782884984612</v>
      </c>
      <c r="P29" s="26" t="s">
        <v>124</v>
      </c>
      <c r="Q29" s="79">
        <v>195217.76</v>
      </c>
      <c r="S29" s="22">
        <v>45383</v>
      </c>
      <c r="T29" s="23">
        <f>SUMIFS([1]Dataset!$E:$E, [1]Dataset!$H:$H, "&gt;="&amp;DATE(2024,4,1), [1]Dataset!$H:$H, "&lt;="&amp;EOMONTH(DATE(2024,4,1),0))</f>
        <v>19029.960000000003</v>
      </c>
      <c r="U29" s="23">
        <f t="shared" si="1"/>
        <v>-2.7463010957458601E-2</v>
      </c>
    </row>
    <row r="30" spans="1:21" x14ac:dyDescent="0.3">
      <c r="A30" s="3" t="s">
        <v>57</v>
      </c>
      <c r="B30" s="3" t="s">
        <v>22</v>
      </c>
      <c r="C30" s="3" t="s">
        <v>43</v>
      </c>
      <c r="D30" s="3" t="s">
        <v>12</v>
      </c>
      <c r="E30" s="3">
        <v>1291.47</v>
      </c>
      <c r="F30" s="3">
        <v>18</v>
      </c>
      <c r="G30" s="3">
        <v>0.2</v>
      </c>
      <c r="H30" s="4">
        <v>45526</v>
      </c>
      <c r="I30" s="3">
        <f>Table2[[#This Row],[Sales]]-Table2[[#This Row],[Sales]]*Table2[[#This Row],[Discount]]</f>
        <v>1033.1759999999999</v>
      </c>
      <c r="J30" s="5">
        <f t="shared" ca="1" si="0"/>
        <v>45985.797457870372</v>
      </c>
      <c r="M30" s="18" t="s">
        <v>108</v>
      </c>
      <c r="N30" s="18">
        <v>-8.8595231919740947E-2</v>
      </c>
      <c r="S30" s="22">
        <v>45413</v>
      </c>
      <c r="T30" s="23">
        <f>SUMIFS([1]Dataset!$E:$E, [1]Dataset!$H:$H, "&gt;="&amp;DATE(2024,5,1), [1]Dataset!$H:$H, "&lt;="&amp;EOMONTH(DATE(2024,5,1),0))</f>
        <v>18507.340000000004</v>
      </c>
      <c r="U30" s="23">
        <f t="shared" si="1"/>
        <v>9.0783980842195078E-2</v>
      </c>
    </row>
    <row r="31" spans="1:21" x14ac:dyDescent="0.3">
      <c r="A31" s="3" t="s">
        <v>37</v>
      </c>
      <c r="B31" s="3" t="s">
        <v>18</v>
      </c>
      <c r="C31" s="3" t="s">
        <v>43</v>
      </c>
      <c r="D31" s="3" t="s">
        <v>41</v>
      </c>
      <c r="E31" s="3">
        <v>1286.54</v>
      </c>
      <c r="F31" s="3">
        <v>8</v>
      </c>
      <c r="G31" s="3">
        <v>0.2</v>
      </c>
      <c r="H31" s="4">
        <v>45575</v>
      </c>
      <c r="I31" s="3">
        <f>Table2[[#This Row],[Sales]]-Table2[[#This Row],[Sales]]*Table2[[#This Row],[Discount]]</f>
        <v>1029.232</v>
      </c>
      <c r="J31" s="5">
        <f t="shared" ca="1" si="0"/>
        <v>45985.797457870372</v>
      </c>
      <c r="M31" s="18" t="s">
        <v>109</v>
      </c>
      <c r="N31" s="18">
        <v>0.14685796564193304</v>
      </c>
      <c r="P31" s="25" t="s">
        <v>123</v>
      </c>
      <c r="Q31" t="s">
        <v>125</v>
      </c>
      <c r="S31" s="22">
        <v>45444</v>
      </c>
      <c r="T31" s="23">
        <f>SUMIFS([1]Dataset!$E:$E, [1]Dataset!$H:$H, "&gt;="&amp;DATE(2024,6,1), [1]Dataset!$H:$H, "&lt;="&amp;EOMONTH(DATE(2024,6,1),0))</f>
        <v>20187.509999999995</v>
      </c>
      <c r="U31" s="23">
        <f t="shared" si="1"/>
        <v>-0.42493947990613989</v>
      </c>
    </row>
    <row r="32" spans="1:21" x14ac:dyDescent="0.3">
      <c r="A32" s="3" t="s">
        <v>21</v>
      </c>
      <c r="B32" s="3" t="s">
        <v>58</v>
      </c>
      <c r="C32" s="3" t="s">
        <v>19</v>
      </c>
      <c r="D32" s="3" t="s">
        <v>12</v>
      </c>
      <c r="E32" s="3">
        <v>1277.8499999999999</v>
      </c>
      <c r="F32" s="3">
        <v>18</v>
      </c>
      <c r="G32" s="3">
        <v>0.2</v>
      </c>
      <c r="H32" s="4">
        <v>45613</v>
      </c>
      <c r="I32" s="3">
        <f>Table2[[#This Row],[Sales]]-Table2[[#This Row],[Sales]]*Table2[[#This Row],[Discount]]</f>
        <v>1022.28</v>
      </c>
      <c r="J32" s="5">
        <f t="shared" ca="1" si="0"/>
        <v>45985.797457870372</v>
      </c>
      <c r="M32" s="18" t="s">
        <v>110</v>
      </c>
      <c r="N32" s="18">
        <v>1665.15</v>
      </c>
      <c r="P32" s="26" t="s">
        <v>26</v>
      </c>
      <c r="Q32" s="79">
        <v>47002.459999999977</v>
      </c>
      <c r="S32" s="22">
        <v>45474</v>
      </c>
      <c r="T32" s="23">
        <f>SUMIFS([1]Dataset!$E:$E, [1]Dataset!$H:$H, "&gt;="&amp;DATE(2024,7,1), [1]Dataset!$H:$H, "&lt;="&amp;EOMONTH(DATE(2024,7,1),0))</f>
        <v>11609.039999999999</v>
      </c>
      <c r="U32" s="23">
        <f t="shared" si="1"/>
        <v>-0.13070331396911358</v>
      </c>
    </row>
    <row r="33" spans="1:21" x14ac:dyDescent="0.3">
      <c r="A33" s="3" t="s">
        <v>50</v>
      </c>
      <c r="B33" s="3" t="s">
        <v>42</v>
      </c>
      <c r="C33" s="3" t="s">
        <v>29</v>
      </c>
      <c r="D33" s="3" t="s">
        <v>26</v>
      </c>
      <c r="E33" s="3">
        <v>1264.49</v>
      </c>
      <c r="F33" s="3">
        <v>16</v>
      </c>
      <c r="G33" s="3">
        <v>0.2</v>
      </c>
      <c r="H33" s="4">
        <v>45549</v>
      </c>
      <c r="I33" s="3">
        <f>Table2[[#This Row],[Sales]]-Table2[[#This Row],[Sales]]*Table2[[#This Row],[Discount]]</f>
        <v>1011.592</v>
      </c>
      <c r="J33" s="5">
        <f t="shared" ca="1" si="0"/>
        <v>45985.797457870372</v>
      </c>
      <c r="M33" s="18" t="s">
        <v>111</v>
      </c>
      <c r="N33" s="18">
        <v>258.51</v>
      </c>
      <c r="P33" s="26" t="s">
        <v>12</v>
      </c>
      <c r="Q33" s="79">
        <v>41927.589999999982</v>
      </c>
      <c r="S33" s="22">
        <v>45505</v>
      </c>
      <c r="T33" s="23">
        <f>SUMIFS([1]Dataset!$E:$E, [1]Dataset!$H:$H, "&gt;="&amp;DATE(2024,8,1), [1]Dataset!$H:$H, "&lt;="&amp;EOMONTH(DATE(2024,8,1),0))</f>
        <v>10091.700000000001</v>
      </c>
      <c r="U33" s="23">
        <f t="shared" si="1"/>
        <v>1.0346918755016501</v>
      </c>
    </row>
    <row r="34" spans="1:21" x14ac:dyDescent="0.3">
      <c r="A34" s="3" t="s">
        <v>27</v>
      </c>
      <c r="B34" s="3" t="s">
        <v>16</v>
      </c>
      <c r="C34" s="3" t="s">
        <v>19</v>
      </c>
      <c r="D34" s="3" t="s">
        <v>41</v>
      </c>
      <c r="E34" s="3">
        <v>1261.3399999999999</v>
      </c>
      <c r="F34" s="3">
        <v>3</v>
      </c>
      <c r="G34" s="3">
        <v>0.2</v>
      </c>
      <c r="H34" s="4">
        <v>45519</v>
      </c>
      <c r="I34" s="3">
        <f>Table2[[#This Row],[Sales]]-Table2[[#This Row],[Sales]]*Table2[[#This Row],[Discount]]</f>
        <v>1009.0719999999999</v>
      </c>
      <c r="J34" s="5">
        <f t="shared" ca="1" si="0"/>
        <v>45985.797457870372</v>
      </c>
      <c r="M34" s="18" t="s">
        <v>112</v>
      </c>
      <c r="N34" s="18">
        <v>1923.66</v>
      </c>
      <c r="P34" s="26" t="s">
        <v>14</v>
      </c>
      <c r="Q34" s="79">
        <v>41044</v>
      </c>
      <c r="S34" s="22">
        <v>45536</v>
      </c>
      <c r="T34" s="23">
        <f>SUMIFS([1]Dataset!$E:$E, [1]Dataset!$H:$H, "&gt;="&amp;DATE(2024,9,1), [1]Dataset!$H:$H, "&lt;="&amp;EOMONTH(DATE(2024,9,1),0))</f>
        <v>20533.500000000004</v>
      </c>
      <c r="U34" s="23">
        <f t="shared" si="1"/>
        <v>-0.30770496992719226</v>
      </c>
    </row>
    <row r="35" spans="1:21" x14ac:dyDescent="0.3">
      <c r="A35" s="3" t="s">
        <v>59</v>
      </c>
      <c r="B35" s="3" t="s">
        <v>22</v>
      </c>
      <c r="C35" s="3" t="s">
        <v>19</v>
      </c>
      <c r="D35" s="3" t="s">
        <v>20</v>
      </c>
      <c r="E35" s="3">
        <v>1250.71</v>
      </c>
      <c r="F35" s="3">
        <v>7</v>
      </c>
      <c r="G35" s="3">
        <v>0.2</v>
      </c>
      <c r="H35" s="4">
        <v>45674</v>
      </c>
      <c r="I35" s="3">
        <f>Table2[[#This Row],[Sales]]-Table2[[#This Row],[Sales]]*Table2[[#This Row],[Discount]]</f>
        <v>1000.568</v>
      </c>
      <c r="J35" s="5">
        <f t="shared" ca="1" si="0"/>
        <v>45985.797457870372</v>
      </c>
      <c r="M35" s="18" t="s">
        <v>113</v>
      </c>
      <c r="N35" s="18">
        <v>195217.75999999998</v>
      </c>
      <c r="P35" s="26" t="s">
        <v>41</v>
      </c>
      <c r="Q35" s="79">
        <v>36612.890000000007</v>
      </c>
      <c r="S35" s="22">
        <v>45566</v>
      </c>
      <c r="T35" s="23">
        <f>SUMIFS([1]Dataset!$E:$E, [1]Dataset!$H:$H, "&gt;="&amp;DATE(2024,10,1), [1]Dataset!$H:$H, "&lt;="&amp;EOMONTH(DATE(2024,10,1),0))</f>
        <v>14215.24</v>
      </c>
      <c r="U35" s="23">
        <f t="shared" si="1"/>
        <v>0.41643968023051309</v>
      </c>
    </row>
    <row r="36" spans="1:21" x14ac:dyDescent="0.3">
      <c r="A36" s="3" t="s">
        <v>60</v>
      </c>
      <c r="B36" s="3" t="s">
        <v>33</v>
      </c>
      <c r="C36" s="3" t="s">
        <v>19</v>
      </c>
      <c r="D36" s="3" t="s">
        <v>26</v>
      </c>
      <c r="E36" s="3">
        <v>1249.0999999999999</v>
      </c>
      <c r="F36" s="3">
        <v>4</v>
      </c>
      <c r="G36" s="3">
        <v>0.2</v>
      </c>
      <c r="H36" s="4">
        <v>45597</v>
      </c>
      <c r="I36" s="3">
        <f>Table2[[#This Row],[Sales]]-Table2[[#This Row],[Sales]]*Table2[[#This Row],[Discount]]</f>
        <v>999.28</v>
      </c>
      <c r="J36" s="5">
        <f t="shared" ca="1" si="0"/>
        <v>45985.797457870372</v>
      </c>
      <c r="M36" s="18" t="s">
        <v>114</v>
      </c>
      <c r="N36" s="18">
        <v>200</v>
      </c>
      <c r="P36" s="26" t="s">
        <v>20</v>
      </c>
      <c r="Q36" s="79">
        <v>28630.819999999992</v>
      </c>
      <c r="S36" s="22">
        <v>45597</v>
      </c>
      <c r="T36" s="23">
        <f>SUMIFS([1]Dataset!$E:$E, [1]Dataset!$H:$H, "&gt;="&amp;DATE(2024,11,1), [1]Dataset!$H:$H, "&lt;="&amp;EOMONTH(DATE(2024,11,1),0))</f>
        <v>20135.03</v>
      </c>
      <c r="U36" s="23">
        <f t="shared" si="1"/>
        <v>-0.44772667336477762</v>
      </c>
    </row>
    <row r="37" spans="1:21" x14ac:dyDescent="0.3">
      <c r="A37" s="3" t="s">
        <v>53</v>
      </c>
      <c r="B37" s="3" t="s">
        <v>24</v>
      </c>
      <c r="C37" s="3" t="s">
        <v>13</v>
      </c>
      <c r="D37" s="3" t="s">
        <v>26</v>
      </c>
      <c r="E37" s="3">
        <v>1248.82</v>
      </c>
      <c r="F37" s="3">
        <v>2</v>
      </c>
      <c r="G37" s="3">
        <v>0.2</v>
      </c>
      <c r="H37" s="4">
        <v>45473</v>
      </c>
      <c r="I37" s="3">
        <f>Table2[[#This Row],[Sales]]-Table2[[#This Row],[Sales]]*Table2[[#This Row],[Discount]]</f>
        <v>999.05599999999993</v>
      </c>
      <c r="J37" s="5">
        <f t="shared" ca="1" si="0"/>
        <v>45985.797457870372</v>
      </c>
      <c r="P37" s="26" t="s">
        <v>124</v>
      </c>
      <c r="Q37" s="79">
        <v>195217.75999999995</v>
      </c>
      <c r="S37" s="22">
        <v>45627</v>
      </c>
      <c r="T37" s="23">
        <f>SUMIFS([1]Dataset!$E:$E, [1]Dataset!$H:$H, "&gt;="&amp;DATE(2024,12,1), [1]Dataset!$H:$H, "&lt;="&amp;EOMONTH(DATE(2024,12,1),0))</f>
        <v>11120.04</v>
      </c>
      <c r="U37" s="23">
        <f t="shared" si="1"/>
        <v>-1</v>
      </c>
    </row>
    <row r="38" spans="1:21" ht="18.600000000000001" thickBot="1" x14ac:dyDescent="0.35">
      <c r="A38" s="3" t="s">
        <v>61</v>
      </c>
      <c r="B38" s="3" t="s">
        <v>62</v>
      </c>
      <c r="C38" s="3" t="s">
        <v>43</v>
      </c>
      <c r="D38" s="3" t="s">
        <v>26</v>
      </c>
      <c r="E38" s="3">
        <v>1231.26</v>
      </c>
      <c r="F38" s="3">
        <v>9</v>
      </c>
      <c r="G38" s="3">
        <v>0.2</v>
      </c>
      <c r="H38" s="4">
        <v>45646</v>
      </c>
      <c r="I38" s="3">
        <f>Table2[[#This Row],[Sales]]-Table2[[#This Row],[Sales]]*Table2[[#This Row],[Discount]]</f>
        <v>985.00800000000004</v>
      </c>
      <c r="J38" s="5">
        <f t="shared" ca="1" si="0"/>
        <v>45985.797457870372</v>
      </c>
      <c r="M38" s="48" t="s">
        <v>115</v>
      </c>
      <c r="N38" s="49"/>
    </row>
    <row r="39" spans="1:21" ht="15.6" x14ac:dyDescent="0.3">
      <c r="A39" s="3" t="s">
        <v>61</v>
      </c>
      <c r="B39" s="3" t="s">
        <v>52</v>
      </c>
      <c r="C39" s="3" t="s">
        <v>13</v>
      </c>
      <c r="D39" s="3" t="s">
        <v>41</v>
      </c>
      <c r="E39" s="3">
        <v>1227.25</v>
      </c>
      <c r="F39" s="3">
        <v>12</v>
      </c>
      <c r="G39" s="3">
        <v>0.2</v>
      </c>
      <c r="H39" s="4">
        <v>45448</v>
      </c>
      <c r="I39" s="3">
        <f>Table2[[#This Row],[Sales]]-Table2[[#This Row],[Sales]]*Table2[[#This Row],[Discount]]</f>
        <v>981.8</v>
      </c>
      <c r="J39" s="5">
        <f t="shared" ca="1" si="0"/>
        <v>45985.797457870372</v>
      </c>
      <c r="M39" s="19" t="s">
        <v>116</v>
      </c>
      <c r="N39" s="20" t="str">
        <f>INDEX(B:B, MATCH(MAX(E:E), E:E, 0))</f>
        <v>James Wilson</v>
      </c>
      <c r="P39" s="117" t="s">
        <v>134</v>
      </c>
      <c r="Q39" s="108"/>
      <c r="R39" s="113"/>
      <c r="S39" s="113"/>
      <c r="T39" s="118"/>
    </row>
    <row r="40" spans="1:21" ht="15.6" x14ac:dyDescent="0.3">
      <c r="A40" s="3" t="s">
        <v>9</v>
      </c>
      <c r="B40" s="3" t="s">
        <v>10</v>
      </c>
      <c r="C40" s="3" t="s">
        <v>29</v>
      </c>
      <c r="D40" s="3" t="s">
        <v>12</v>
      </c>
      <c r="E40" s="3">
        <v>1226.6199999999999</v>
      </c>
      <c r="F40" s="3">
        <v>7</v>
      </c>
      <c r="G40" s="3">
        <v>0.2</v>
      </c>
      <c r="H40" s="4">
        <v>45463</v>
      </c>
      <c r="I40" s="3">
        <f>Table2[[#This Row],[Sales]]-Table2[[#This Row],[Sales]]*Table2[[#This Row],[Discount]]</f>
        <v>981.29599999999994</v>
      </c>
      <c r="J40" s="5">
        <f t="shared" ca="1" si="0"/>
        <v>45985.797457870372</v>
      </c>
      <c r="M40" s="19" t="s">
        <v>117</v>
      </c>
      <c r="N40" s="20">
        <f>MAX(E:E)</f>
        <v>1923.66</v>
      </c>
      <c r="P40" s="119"/>
      <c r="Q40" s="107"/>
      <c r="R40" s="114" t="s">
        <v>136</v>
      </c>
      <c r="S40" s="114" t="s">
        <v>132</v>
      </c>
      <c r="T40" s="120" t="s">
        <v>141</v>
      </c>
    </row>
    <row r="41" spans="1:21" x14ac:dyDescent="0.3">
      <c r="A41" s="3" t="s">
        <v>37</v>
      </c>
      <c r="B41" s="3" t="s">
        <v>63</v>
      </c>
      <c r="C41" s="3" t="s">
        <v>19</v>
      </c>
      <c r="D41" s="3" t="s">
        <v>20</v>
      </c>
      <c r="E41" s="3">
        <v>1225.42</v>
      </c>
      <c r="F41" s="3">
        <v>8</v>
      </c>
      <c r="G41" s="3">
        <v>0.2</v>
      </c>
      <c r="H41" s="4">
        <v>45449</v>
      </c>
      <c r="I41" s="3">
        <f>Table2[[#This Row],[Sales]]-Table2[[#This Row],[Sales]]*Table2[[#This Row],[Discount]]</f>
        <v>980.33600000000001</v>
      </c>
      <c r="J41" s="5">
        <f t="shared" ca="1" si="0"/>
        <v>45985.797457870372</v>
      </c>
      <c r="P41" s="121"/>
      <c r="Q41" s="110"/>
      <c r="R41" s="84"/>
      <c r="S41" s="116" t="s">
        <v>133</v>
      </c>
      <c r="T41" s="122" t="s">
        <v>133</v>
      </c>
    </row>
    <row r="42" spans="1:21" x14ac:dyDescent="0.3">
      <c r="A42" s="3" t="s">
        <v>48</v>
      </c>
      <c r="B42" s="3" t="s">
        <v>33</v>
      </c>
      <c r="C42" s="3" t="s">
        <v>11</v>
      </c>
      <c r="D42" s="3" t="s">
        <v>14</v>
      </c>
      <c r="E42" s="3">
        <v>1215.26</v>
      </c>
      <c r="F42" s="3">
        <v>5</v>
      </c>
      <c r="G42" s="3">
        <v>0.2</v>
      </c>
      <c r="H42" s="4">
        <v>45513</v>
      </c>
      <c r="I42" s="3">
        <f>Table2[[#This Row],[Sales]]-Table2[[#This Row],[Sales]]*Table2[[#This Row],[Discount]]</f>
        <v>972.20799999999997</v>
      </c>
      <c r="J42" s="5">
        <f t="shared" ca="1" si="0"/>
        <v>45985.797457870372</v>
      </c>
      <c r="P42" s="123" t="s">
        <v>135</v>
      </c>
      <c r="Q42" s="111"/>
      <c r="R42" s="109"/>
      <c r="S42" s="109"/>
      <c r="T42" s="124"/>
    </row>
    <row r="43" spans="1:21" x14ac:dyDescent="0.3">
      <c r="A43" s="3" t="s">
        <v>64</v>
      </c>
      <c r="B43" s="3" t="s">
        <v>52</v>
      </c>
      <c r="C43" s="3" t="s">
        <v>43</v>
      </c>
      <c r="D43" s="3" t="s">
        <v>26</v>
      </c>
      <c r="E43" s="3">
        <v>1213.48</v>
      </c>
      <c r="F43" s="3">
        <v>5</v>
      </c>
      <c r="G43" s="3">
        <v>0.2</v>
      </c>
      <c r="H43" s="4">
        <v>45616</v>
      </c>
      <c r="I43" s="3">
        <f>Table2[[#This Row],[Sales]]-Table2[[#This Row],[Sales]]*Table2[[#This Row],[Discount]]</f>
        <v>970.78399999999999</v>
      </c>
      <c r="J43" s="5">
        <f t="shared" ca="1" si="0"/>
        <v>45985.797457870372</v>
      </c>
      <c r="P43" s="121"/>
      <c r="Q43" s="110" t="s">
        <v>142</v>
      </c>
      <c r="R43" s="84">
        <v>0.2</v>
      </c>
      <c r="S43" s="115">
        <v>0.5</v>
      </c>
      <c r="T43" s="125">
        <v>0.05</v>
      </c>
    </row>
    <row r="44" spans="1:21" x14ac:dyDescent="0.3">
      <c r="A44" s="3" t="s">
        <v>46</v>
      </c>
      <c r="B44" s="3" t="s">
        <v>10</v>
      </c>
      <c r="C44" s="3" t="s">
        <v>13</v>
      </c>
      <c r="D44" s="3" t="s">
        <v>12</v>
      </c>
      <c r="E44" s="3">
        <v>1205.82</v>
      </c>
      <c r="F44" s="3">
        <v>11</v>
      </c>
      <c r="G44" s="3">
        <v>0.2</v>
      </c>
      <c r="H44" s="4">
        <v>45559</v>
      </c>
      <c r="I44" s="3">
        <f>Table2[[#This Row],[Sales]]-Table2[[#This Row],[Sales]]*Table2[[#This Row],[Discount]]</f>
        <v>964.65599999999995</v>
      </c>
      <c r="J44" s="5">
        <f t="shared" ca="1" si="0"/>
        <v>45985.797457870372</v>
      </c>
      <c r="P44" s="123" t="s">
        <v>137</v>
      </c>
      <c r="Q44" s="111"/>
      <c r="R44" s="109"/>
      <c r="S44" s="109"/>
      <c r="T44" s="124"/>
    </row>
    <row r="45" spans="1:21" ht="15" thickBot="1" x14ac:dyDescent="0.35">
      <c r="A45" s="3" t="s">
        <v>9</v>
      </c>
      <c r="B45" s="3" t="s">
        <v>16</v>
      </c>
      <c r="C45" s="3" t="s">
        <v>13</v>
      </c>
      <c r="D45" s="3" t="s">
        <v>20</v>
      </c>
      <c r="E45" s="3">
        <v>1200.9000000000001</v>
      </c>
      <c r="F45" s="3">
        <v>14</v>
      </c>
      <c r="G45" s="3">
        <v>0.2</v>
      </c>
      <c r="H45" s="4">
        <v>45429</v>
      </c>
      <c r="I45" s="3">
        <f>Table2[[#This Row],[Sales]]-Table2[[#This Row],[Sales]]*Table2[[#This Row],[Discount]]</f>
        <v>960.72</v>
      </c>
      <c r="J45" s="5">
        <f t="shared" ca="1" si="0"/>
        <v>45985.797457870372</v>
      </c>
      <c r="P45" s="126"/>
      <c r="Q45" s="112" t="s">
        <v>131</v>
      </c>
      <c r="R45" s="106">
        <v>156174.20800000001</v>
      </c>
      <c r="S45" s="106">
        <v>155597.10999999999</v>
      </c>
      <c r="T45" s="127">
        <v>156462.75700000001</v>
      </c>
    </row>
    <row r="46" spans="1:21" x14ac:dyDescent="0.3">
      <c r="A46" s="3" t="s">
        <v>25</v>
      </c>
      <c r="B46" s="3" t="s">
        <v>36</v>
      </c>
      <c r="C46" s="3" t="s">
        <v>11</v>
      </c>
      <c r="D46" s="3" t="s">
        <v>41</v>
      </c>
      <c r="E46" s="3">
        <v>1193.6099999999999</v>
      </c>
      <c r="F46" s="3">
        <v>1</v>
      </c>
      <c r="G46" s="3">
        <v>0.2</v>
      </c>
      <c r="H46" s="4">
        <v>45584</v>
      </c>
      <c r="I46" s="3">
        <f>Table2[[#This Row],[Sales]]-Table2[[#This Row],[Sales]]*Table2[[#This Row],[Discount]]</f>
        <v>954.88799999999992</v>
      </c>
      <c r="J46" s="5">
        <f t="shared" ca="1" si="0"/>
        <v>45985.797457870372</v>
      </c>
      <c r="P46" s="128" t="s">
        <v>138</v>
      </c>
      <c r="Q46" s="129"/>
      <c r="R46" s="129"/>
      <c r="S46" s="129"/>
      <c r="T46" s="130"/>
    </row>
    <row r="47" spans="1:21" x14ac:dyDescent="0.3">
      <c r="A47" s="3" t="s">
        <v>30</v>
      </c>
      <c r="B47" s="3" t="s">
        <v>40</v>
      </c>
      <c r="C47" s="3" t="s">
        <v>19</v>
      </c>
      <c r="D47" s="3" t="s">
        <v>26</v>
      </c>
      <c r="E47" s="3">
        <v>1191.58</v>
      </c>
      <c r="F47" s="3">
        <v>14</v>
      </c>
      <c r="G47" s="3">
        <v>0.2</v>
      </c>
      <c r="H47" s="4">
        <v>45406</v>
      </c>
      <c r="I47" s="3">
        <f>Table2[[#This Row],[Sales]]-Table2[[#This Row],[Sales]]*Table2[[#This Row],[Discount]]</f>
        <v>953.2639999999999</v>
      </c>
      <c r="J47" s="5">
        <f t="shared" ca="1" si="0"/>
        <v>45985.797457870372</v>
      </c>
      <c r="P47" s="128" t="s">
        <v>139</v>
      </c>
      <c r="Q47" s="129"/>
      <c r="R47" s="129"/>
      <c r="S47" s="129"/>
      <c r="T47" s="130"/>
    </row>
    <row r="48" spans="1:21" ht="15" thickBot="1" x14ac:dyDescent="0.35">
      <c r="A48" s="3" t="s">
        <v>51</v>
      </c>
      <c r="B48" s="3" t="s">
        <v>22</v>
      </c>
      <c r="C48" s="3" t="s">
        <v>13</v>
      </c>
      <c r="D48" s="3" t="s">
        <v>26</v>
      </c>
      <c r="E48" s="3">
        <v>1189.83</v>
      </c>
      <c r="F48" s="3">
        <v>2</v>
      </c>
      <c r="G48" s="3">
        <v>0.2</v>
      </c>
      <c r="H48" s="4">
        <v>45709</v>
      </c>
      <c r="I48" s="3">
        <f>Table2[[#This Row],[Sales]]-Table2[[#This Row],[Sales]]*Table2[[#This Row],[Discount]]</f>
        <v>951.86399999999992</v>
      </c>
      <c r="J48" s="5">
        <f t="shared" ca="1" si="0"/>
        <v>45985.797457870372</v>
      </c>
      <c r="P48" s="131" t="s">
        <v>140</v>
      </c>
      <c r="Q48" s="132"/>
      <c r="R48" s="132"/>
      <c r="S48" s="132"/>
      <c r="T48" s="133"/>
    </row>
    <row r="49" spans="1:10" x14ac:dyDescent="0.3">
      <c r="A49" s="3" t="s">
        <v>46</v>
      </c>
      <c r="B49" s="3" t="s">
        <v>40</v>
      </c>
      <c r="C49" s="3" t="s">
        <v>43</v>
      </c>
      <c r="D49" s="3" t="s">
        <v>41</v>
      </c>
      <c r="E49" s="3">
        <v>1186.8499999999999</v>
      </c>
      <c r="F49" s="3">
        <v>19</v>
      </c>
      <c r="G49" s="3">
        <v>0.2</v>
      </c>
      <c r="H49" s="4">
        <v>45451</v>
      </c>
      <c r="I49" s="3">
        <f>Table2[[#This Row],[Sales]]-Table2[[#This Row],[Sales]]*Table2[[#This Row],[Discount]]</f>
        <v>949.4799999999999</v>
      </c>
      <c r="J49" s="5">
        <f t="shared" ca="1" si="0"/>
        <v>45985.797457870372</v>
      </c>
    </row>
    <row r="50" spans="1:10" x14ac:dyDescent="0.3">
      <c r="A50" s="3" t="s">
        <v>51</v>
      </c>
      <c r="B50" s="3" t="s">
        <v>40</v>
      </c>
      <c r="C50" s="3" t="s">
        <v>29</v>
      </c>
      <c r="D50" s="3" t="s">
        <v>41</v>
      </c>
      <c r="E50" s="3">
        <v>1184.25</v>
      </c>
      <c r="F50" s="3">
        <v>11</v>
      </c>
      <c r="G50" s="3">
        <v>0.2</v>
      </c>
      <c r="H50" s="4">
        <v>45742</v>
      </c>
      <c r="I50" s="3">
        <f>Table2[[#This Row],[Sales]]-Table2[[#This Row],[Sales]]*Table2[[#This Row],[Discount]]</f>
        <v>947.4</v>
      </c>
      <c r="J50" s="5">
        <f t="shared" ca="1" si="0"/>
        <v>45985.797457870372</v>
      </c>
    </row>
    <row r="51" spans="1:10" x14ac:dyDescent="0.3">
      <c r="A51" s="3" t="s">
        <v>65</v>
      </c>
      <c r="B51" s="3" t="s">
        <v>42</v>
      </c>
      <c r="C51" s="3" t="s">
        <v>29</v>
      </c>
      <c r="D51" s="3" t="s">
        <v>14</v>
      </c>
      <c r="E51" s="3">
        <v>1173.1199999999999</v>
      </c>
      <c r="F51" s="3">
        <v>18</v>
      </c>
      <c r="G51" s="3">
        <v>0.2</v>
      </c>
      <c r="H51" s="4">
        <v>45418</v>
      </c>
      <c r="I51" s="3">
        <f>Table2[[#This Row],[Sales]]-Table2[[#This Row],[Sales]]*Table2[[#This Row],[Discount]]</f>
        <v>938.49599999999987</v>
      </c>
      <c r="J51" s="5">
        <f t="shared" ca="1" si="0"/>
        <v>45985.797457870372</v>
      </c>
    </row>
    <row r="52" spans="1:10" x14ac:dyDescent="0.3">
      <c r="A52" s="3" t="s">
        <v>66</v>
      </c>
      <c r="B52" s="3" t="s">
        <v>52</v>
      </c>
      <c r="C52" s="3" t="s">
        <v>11</v>
      </c>
      <c r="D52" s="3" t="s">
        <v>41</v>
      </c>
      <c r="E52" s="3">
        <v>1172.97</v>
      </c>
      <c r="F52" s="3">
        <v>7</v>
      </c>
      <c r="G52" s="3">
        <v>0.2</v>
      </c>
      <c r="H52" s="4">
        <v>45559</v>
      </c>
      <c r="I52" s="3">
        <f>Table2[[#This Row],[Sales]]-Table2[[#This Row],[Sales]]*Table2[[#This Row],[Discount]]</f>
        <v>938.37599999999998</v>
      </c>
      <c r="J52" s="5">
        <f t="shared" ca="1" si="0"/>
        <v>45985.797457870372</v>
      </c>
    </row>
    <row r="53" spans="1:10" x14ac:dyDescent="0.3">
      <c r="A53" s="3" t="s">
        <v>60</v>
      </c>
      <c r="B53" s="3" t="s">
        <v>49</v>
      </c>
      <c r="C53" s="3" t="s">
        <v>13</v>
      </c>
      <c r="D53" s="3" t="s">
        <v>12</v>
      </c>
      <c r="E53" s="3">
        <v>1171.18</v>
      </c>
      <c r="F53" s="3">
        <v>19</v>
      </c>
      <c r="G53" s="3">
        <v>0.2</v>
      </c>
      <c r="H53" s="4">
        <v>45667</v>
      </c>
      <c r="I53" s="3">
        <f>Table2[[#This Row],[Sales]]-Table2[[#This Row],[Sales]]*Table2[[#This Row],[Discount]]</f>
        <v>936.94400000000007</v>
      </c>
      <c r="J53" s="5">
        <f t="shared" ca="1" si="0"/>
        <v>45985.797457870372</v>
      </c>
    </row>
    <row r="54" spans="1:10" x14ac:dyDescent="0.3">
      <c r="A54" s="3" t="s">
        <v>9</v>
      </c>
      <c r="B54" s="3" t="s">
        <v>34</v>
      </c>
      <c r="C54" s="3" t="s">
        <v>11</v>
      </c>
      <c r="D54" s="3" t="s">
        <v>12</v>
      </c>
      <c r="E54" s="3">
        <v>1168.8900000000001</v>
      </c>
      <c r="F54" s="3">
        <v>4</v>
      </c>
      <c r="G54" s="3">
        <v>0.2</v>
      </c>
      <c r="H54" s="4">
        <v>45544</v>
      </c>
      <c r="I54" s="3">
        <f>Table2[[#This Row],[Sales]]-Table2[[#This Row],[Sales]]*Table2[[#This Row],[Discount]]</f>
        <v>935.11200000000008</v>
      </c>
      <c r="J54" s="5">
        <f t="shared" ca="1" si="0"/>
        <v>45985.797457870372</v>
      </c>
    </row>
    <row r="55" spans="1:10" x14ac:dyDescent="0.3">
      <c r="A55" s="3" t="s">
        <v>44</v>
      </c>
      <c r="B55" s="3" t="s">
        <v>42</v>
      </c>
      <c r="C55" s="3" t="s">
        <v>29</v>
      </c>
      <c r="D55" s="3" t="s">
        <v>12</v>
      </c>
      <c r="E55" s="3">
        <v>1163.01</v>
      </c>
      <c r="F55" s="3">
        <v>5</v>
      </c>
      <c r="G55" s="3">
        <v>0.2</v>
      </c>
      <c r="H55" s="4">
        <v>45611</v>
      </c>
      <c r="I55" s="3">
        <f>Table2[[#This Row],[Sales]]-Table2[[#This Row],[Sales]]*Table2[[#This Row],[Discount]]</f>
        <v>930.40800000000002</v>
      </c>
      <c r="J55" s="5">
        <f t="shared" ca="1" si="0"/>
        <v>45985.797457870372</v>
      </c>
    </row>
    <row r="56" spans="1:10" x14ac:dyDescent="0.3">
      <c r="A56" s="3" t="s">
        <v>61</v>
      </c>
      <c r="B56" s="3" t="s">
        <v>28</v>
      </c>
      <c r="C56" s="3" t="s">
        <v>11</v>
      </c>
      <c r="D56" s="3" t="s">
        <v>14</v>
      </c>
      <c r="E56" s="3">
        <v>1161.67</v>
      </c>
      <c r="F56" s="3">
        <v>19</v>
      </c>
      <c r="G56" s="3">
        <v>0.2</v>
      </c>
      <c r="H56" s="4">
        <v>45647</v>
      </c>
      <c r="I56" s="3">
        <f>Table2[[#This Row],[Sales]]-Table2[[#This Row],[Sales]]*Table2[[#This Row],[Discount]]</f>
        <v>929.33600000000001</v>
      </c>
      <c r="J56" s="5">
        <f t="shared" ca="1" si="0"/>
        <v>45985.797457870372</v>
      </c>
    </row>
    <row r="57" spans="1:10" x14ac:dyDescent="0.3">
      <c r="A57" s="3" t="s">
        <v>53</v>
      </c>
      <c r="B57" s="3" t="s">
        <v>10</v>
      </c>
      <c r="C57" s="3" t="s">
        <v>11</v>
      </c>
      <c r="D57" s="3" t="s">
        <v>14</v>
      </c>
      <c r="E57" s="3">
        <v>1158.94</v>
      </c>
      <c r="F57" s="3">
        <v>19</v>
      </c>
      <c r="G57" s="3">
        <v>0.2</v>
      </c>
      <c r="H57" s="4">
        <v>45553</v>
      </c>
      <c r="I57" s="3">
        <f>Table2[[#This Row],[Sales]]-Table2[[#This Row],[Sales]]*Table2[[#This Row],[Discount]]</f>
        <v>927.15200000000004</v>
      </c>
      <c r="J57" s="5">
        <f t="shared" ca="1" si="0"/>
        <v>45985.797457870372</v>
      </c>
    </row>
    <row r="58" spans="1:10" x14ac:dyDescent="0.3">
      <c r="A58" s="3" t="s">
        <v>67</v>
      </c>
      <c r="B58" s="3" t="s">
        <v>10</v>
      </c>
      <c r="C58" s="3" t="s">
        <v>43</v>
      </c>
      <c r="D58" s="3" t="s">
        <v>20</v>
      </c>
      <c r="E58" s="3">
        <v>1154.33</v>
      </c>
      <c r="F58" s="3">
        <v>11</v>
      </c>
      <c r="G58" s="3">
        <v>0.2</v>
      </c>
      <c r="H58" s="4">
        <v>45549</v>
      </c>
      <c r="I58" s="3">
        <f>Table2[[#This Row],[Sales]]-Table2[[#This Row],[Sales]]*Table2[[#This Row],[Discount]]</f>
        <v>923.46399999999994</v>
      </c>
      <c r="J58" s="5">
        <f t="shared" ca="1" si="0"/>
        <v>45985.797457870372</v>
      </c>
    </row>
    <row r="59" spans="1:10" x14ac:dyDescent="0.3">
      <c r="A59" s="3" t="s">
        <v>27</v>
      </c>
      <c r="B59" s="3" t="s">
        <v>68</v>
      </c>
      <c r="C59" s="3" t="s">
        <v>29</v>
      </c>
      <c r="D59" s="3" t="s">
        <v>26</v>
      </c>
      <c r="E59" s="3">
        <v>1151.21</v>
      </c>
      <c r="F59" s="3">
        <v>15</v>
      </c>
      <c r="G59" s="3">
        <v>0.2</v>
      </c>
      <c r="H59" s="4">
        <v>45445</v>
      </c>
      <c r="I59" s="3">
        <f>Table2[[#This Row],[Sales]]-Table2[[#This Row],[Sales]]*Table2[[#This Row],[Discount]]</f>
        <v>920.96800000000007</v>
      </c>
      <c r="J59" s="5">
        <f t="shared" ca="1" si="0"/>
        <v>45985.797457870372</v>
      </c>
    </row>
    <row r="60" spans="1:10" x14ac:dyDescent="0.3">
      <c r="A60" s="3" t="s">
        <v>46</v>
      </c>
      <c r="B60" s="3" t="s">
        <v>24</v>
      </c>
      <c r="C60" s="3" t="s">
        <v>19</v>
      </c>
      <c r="D60" s="3" t="s">
        <v>26</v>
      </c>
      <c r="E60" s="3">
        <v>1150.28</v>
      </c>
      <c r="F60" s="3">
        <v>8</v>
      </c>
      <c r="G60" s="3">
        <v>0.2</v>
      </c>
      <c r="H60" s="4">
        <v>45622</v>
      </c>
      <c r="I60" s="3">
        <f>Table2[[#This Row],[Sales]]-Table2[[#This Row],[Sales]]*Table2[[#This Row],[Discount]]</f>
        <v>920.22399999999993</v>
      </c>
      <c r="J60" s="5">
        <f t="shared" ca="1" si="0"/>
        <v>45985.797457870372</v>
      </c>
    </row>
    <row r="61" spans="1:10" x14ac:dyDescent="0.3">
      <c r="A61" s="3" t="s">
        <v>47</v>
      </c>
      <c r="B61" s="3" t="s">
        <v>56</v>
      </c>
      <c r="C61" s="3" t="s">
        <v>43</v>
      </c>
      <c r="D61" s="3" t="s">
        <v>41</v>
      </c>
      <c r="E61" s="3">
        <v>1143.69</v>
      </c>
      <c r="F61" s="3">
        <v>17</v>
      </c>
      <c r="G61" s="3">
        <v>0.2</v>
      </c>
      <c r="H61" s="4">
        <v>45534</v>
      </c>
      <c r="I61" s="3">
        <f>Table2[[#This Row],[Sales]]-Table2[[#This Row],[Sales]]*Table2[[#This Row],[Discount]]</f>
        <v>914.952</v>
      </c>
      <c r="J61" s="5">
        <f t="shared" ca="1" si="0"/>
        <v>45985.797457870372</v>
      </c>
    </row>
    <row r="62" spans="1:10" x14ac:dyDescent="0.3">
      <c r="A62" s="3" t="s">
        <v>67</v>
      </c>
      <c r="B62" s="3" t="s">
        <v>58</v>
      </c>
      <c r="C62" s="3" t="s">
        <v>29</v>
      </c>
      <c r="D62" s="3" t="s">
        <v>12</v>
      </c>
      <c r="E62" s="3">
        <v>1118.3399999999999</v>
      </c>
      <c r="F62" s="3">
        <v>6</v>
      </c>
      <c r="G62" s="3">
        <v>0.2</v>
      </c>
      <c r="H62" s="4">
        <v>45674</v>
      </c>
      <c r="I62" s="3">
        <f>Table2[[#This Row],[Sales]]-Table2[[#This Row],[Sales]]*Table2[[#This Row],[Discount]]</f>
        <v>894.67199999999991</v>
      </c>
      <c r="J62" s="5">
        <f t="shared" ca="1" si="0"/>
        <v>45985.797457870372</v>
      </c>
    </row>
    <row r="63" spans="1:10" x14ac:dyDescent="0.3">
      <c r="A63" s="3" t="s">
        <v>44</v>
      </c>
      <c r="B63" s="3" t="s">
        <v>10</v>
      </c>
      <c r="C63" s="3" t="s">
        <v>11</v>
      </c>
      <c r="D63" s="3" t="s">
        <v>14</v>
      </c>
      <c r="E63" s="3">
        <v>1115.22</v>
      </c>
      <c r="F63" s="3">
        <v>14</v>
      </c>
      <c r="G63" s="3">
        <v>0.2</v>
      </c>
      <c r="H63" s="4">
        <v>45705</v>
      </c>
      <c r="I63" s="3">
        <f>Table2[[#This Row],[Sales]]-Table2[[#This Row],[Sales]]*Table2[[#This Row],[Discount]]</f>
        <v>892.17600000000004</v>
      </c>
      <c r="J63" s="5">
        <f t="shared" ca="1" si="0"/>
        <v>45985.797457870372</v>
      </c>
    </row>
    <row r="64" spans="1:10" x14ac:dyDescent="0.3">
      <c r="A64" s="3" t="s">
        <v>61</v>
      </c>
      <c r="B64" s="3" t="s">
        <v>33</v>
      </c>
      <c r="C64" s="3" t="s">
        <v>11</v>
      </c>
      <c r="D64" s="3" t="s">
        <v>20</v>
      </c>
      <c r="E64" s="3">
        <v>1111.3399999999999</v>
      </c>
      <c r="F64" s="3">
        <v>1</v>
      </c>
      <c r="G64" s="3">
        <v>0.2</v>
      </c>
      <c r="H64" s="4">
        <v>45523</v>
      </c>
      <c r="I64" s="3">
        <f>Table2[[#This Row],[Sales]]-Table2[[#This Row],[Sales]]*Table2[[#This Row],[Discount]]</f>
        <v>889.07199999999989</v>
      </c>
      <c r="J64" s="5">
        <f t="shared" ca="1" si="0"/>
        <v>45985.797457870372</v>
      </c>
    </row>
    <row r="65" spans="1:10" x14ac:dyDescent="0.3">
      <c r="A65" s="3" t="s">
        <v>57</v>
      </c>
      <c r="B65" s="3" t="s">
        <v>22</v>
      </c>
      <c r="C65" s="3" t="s">
        <v>43</v>
      </c>
      <c r="D65" s="3" t="s">
        <v>12</v>
      </c>
      <c r="E65" s="3">
        <v>1109.98</v>
      </c>
      <c r="F65" s="3">
        <v>5</v>
      </c>
      <c r="G65" s="3">
        <v>0.2</v>
      </c>
      <c r="H65" s="4">
        <v>45690</v>
      </c>
      <c r="I65" s="3">
        <f>Table2[[#This Row],[Sales]]-Table2[[#This Row],[Sales]]*Table2[[#This Row],[Discount]]</f>
        <v>887.98400000000004</v>
      </c>
      <c r="J65" s="5">
        <f t="shared" ca="1" si="0"/>
        <v>45985.797457870372</v>
      </c>
    </row>
    <row r="66" spans="1:10" x14ac:dyDescent="0.3">
      <c r="A66" s="3" t="s">
        <v>30</v>
      </c>
      <c r="B66" s="3" t="s">
        <v>62</v>
      </c>
      <c r="C66" s="3" t="s">
        <v>11</v>
      </c>
      <c r="D66" s="3" t="s">
        <v>41</v>
      </c>
      <c r="E66" s="3">
        <v>1101.55</v>
      </c>
      <c r="F66" s="3">
        <v>4</v>
      </c>
      <c r="G66" s="3">
        <v>0.2</v>
      </c>
      <c r="H66" s="4">
        <v>45551</v>
      </c>
      <c r="I66" s="3">
        <f>Table2[[#This Row],[Sales]]-Table2[[#This Row],[Sales]]*Table2[[#This Row],[Discount]]</f>
        <v>881.24</v>
      </c>
      <c r="J66" s="5">
        <f t="shared" ref="J66:J129" ca="1" si="2">NOW()</f>
        <v>45985.797457870372</v>
      </c>
    </row>
    <row r="67" spans="1:10" x14ac:dyDescent="0.3">
      <c r="A67" s="3" t="s">
        <v>48</v>
      </c>
      <c r="B67" s="3" t="s">
        <v>69</v>
      </c>
      <c r="C67" s="3" t="s">
        <v>11</v>
      </c>
      <c r="D67" s="3" t="s">
        <v>12</v>
      </c>
      <c r="E67" s="3">
        <v>1101.28</v>
      </c>
      <c r="F67" s="3">
        <v>3</v>
      </c>
      <c r="G67" s="3">
        <v>0.2</v>
      </c>
      <c r="H67" s="4">
        <v>45393</v>
      </c>
      <c r="I67" s="3">
        <f>Table2[[#This Row],[Sales]]-Table2[[#This Row],[Sales]]*Table2[[#This Row],[Discount]]</f>
        <v>881.024</v>
      </c>
      <c r="J67" s="5">
        <f t="shared" ca="1" si="2"/>
        <v>45985.797457870372</v>
      </c>
    </row>
    <row r="68" spans="1:10" x14ac:dyDescent="0.3">
      <c r="A68" s="3" t="s">
        <v>66</v>
      </c>
      <c r="B68" s="3" t="s">
        <v>52</v>
      </c>
      <c r="C68" s="3" t="s">
        <v>29</v>
      </c>
      <c r="D68" s="3" t="s">
        <v>14</v>
      </c>
      <c r="E68" s="3">
        <v>1100.0999999999999</v>
      </c>
      <c r="F68" s="3">
        <v>5</v>
      </c>
      <c r="G68" s="3">
        <v>0.2</v>
      </c>
      <c r="H68" s="4">
        <v>45482</v>
      </c>
      <c r="I68" s="3">
        <f>Table2[[#This Row],[Sales]]-Table2[[#This Row],[Sales]]*Table2[[#This Row],[Discount]]</f>
        <v>880.07999999999993</v>
      </c>
      <c r="J68" s="5">
        <f t="shared" ca="1" si="2"/>
        <v>45985.797457870372</v>
      </c>
    </row>
    <row r="69" spans="1:10" x14ac:dyDescent="0.3">
      <c r="A69" s="3" t="s">
        <v>21</v>
      </c>
      <c r="B69" s="3" t="s">
        <v>33</v>
      </c>
      <c r="C69" s="3" t="s">
        <v>43</v>
      </c>
      <c r="D69" s="3" t="s">
        <v>26</v>
      </c>
      <c r="E69" s="3">
        <v>1099.69</v>
      </c>
      <c r="F69" s="3">
        <v>6</v>
      </c>
      <c r="G69" s="3">
        <v>0.2</v>
      </c>
      <c r="H69" s="4">
        <v>45718</v>
      </c>
      <c r="I69" s="3">
        <f>Table2[[#This Row],[Sales]]-Table2[[#This Row],[Sales]]*Table2[[#This Row],[Discount]]</f>
        <v>879.75200000000007</v>
      </c>
      <c r="J69" s="5">
        <f t="shared" ca="1" si="2"/>
        <v>45985.797457870372</v>
      </c>
    </row>
    <row r="70" spans="1:10" x14ac:dyDescent="0.3">
      <c r="A70" s="3" t="s">
        <v>9</v>
      </c>
      <c r="B70" s="3" t="s">
        <v>70</v>
      </c>
      <c r="C70" s="3" t="s">
        <v>43</v>
      </c>
      <c r="D70" s="3" t="s">
        <v>26</v>
      </c>
      <c r="E70" s="3">
        <v>1098.08</v>
      </c>
      <c r="F70" s="3">
        <v>9</v>
      </c>
      <c r="G70" s="3">
        <v>0.2</v>
      </c>
      <c r="H70" s="4">
        <v>45692</v>
      </c>
      <c r="I70" s="3">
        <f>Table2[[#This Row],[Sales]]-Table2[[#This Row],[Sales]]*Table2[[#This Row],[Discount]]</f>
        <v>878.46399999999994</v>
      </c>
      <c r="J70" s="5">
        <f t="shared" ca="1" si="2"/>
        <v>45985.797457870372</v>
      </c>
    </row>
    <row r="71" spans="1:10" x14ac:dyDescent="0.3">
      <c r="A71" s="3" t="s">
        <v>59</v>
      </c>
      <c r="B71" s="3" t="s">
        <v>52</v>
      </c>
      <c r="C71" s="3" t="s">
        <v>43</v>
      </c>
      <c r="D71" s="3" t="s">
        <v>41</v>
      </c>
      <c r="E71" s="3">
        <v>1093.3800000000001</v>
      </c>
      <c r="F71" s="3">
        <v>17</v>
      </c>
      <c r="G71" s="3">
        <v>0.2</v>
      </c>
      <c r="H71" s="4">
        <v>45745</v>
      </c>
      <c r="I71" s="3">
        <f>Table2[[#This Row],[Sales]]-Table2[[#This Row],[Sales]]*Table2[[#This Row],[Discount]]</f>
        <v>874.70400000000006</v>
      </c>
      <c r="J71" s="5">
        <f t="shared" ca="1" si="2"/>
        <v>45985.797457870372</v>
      </c>
    </row>
    <row r="72" spans="1:10" x14ac:dyDescent="0.3">
      <c r="A72" s="3" t="s">
        <v>57</v>
      </c>
      <c r="B72" s="3" t="s">
        <v>38</v>
      </c>
      <c r="C72" s="3" t="s">
        <v>29</v>
      </c>
      <c r="D72" s="3" t="s">
        <v>41</v>
      </c>
      <c r="E72" s="3">
        <v>1086.93</v>
      </c>
      <c r="F72" s="3">
        <v>2</v>
      </c>
      <c r="G72" s="3">
        <v>0.2</v>
      </c>
      <c r="H72" s="4">
        <v>45464</v>
      </c>
      <c r="I72" s="3">
        <f>Table2[[#This Row],[Sales]]-Table2[[#This Row],[Sales]]*Table2[[#This Row],[Discount]]</f>
        <v>869.5440000000001</v>
      </c>
      <c r="J72" s="5">
        <f t="shared" ca="1" si="2"/>
        <v>45985.797457870372</v>
      </c>
    </row>
    <row r="73" spans="1:10" x14ac:dyDescent="0.3">
      <c r="A73" s="3" t="s">
        <v>59</v>
      </c>
      <c r="B73" s="3" t="s">
        <v>10</v>
      </c>
      <c r="C73" s="3" t="s">
        <v>43</v>
      </c>
      <c r="D73" s="3" t="s">
        <v>26</v>
      </c>
      <c r="E73" s="3">
        <v>1081.1400000000001</v>
      </c>
      <c r="F73" s="3">
        <v>19</v>
      </c>
      <c r="G73" s="3">
        <v>0.2</v>
      </c>
      <c r="H73" s="4">
        <v>45577</v>
      </c>
      <c r="I73" s="3">
        <f>Table2[[#This Row],[Sales]]-Table2[[#This Row],[Sales]]*Table2[[#This Row],[Discount]]</f>
        <v>864.91200000000003</v>
      </c>
      <c r="J73" s="5">
        <f t="shared" ca="1" si="2"/>
        <v>45985.797457870372</v>
      </c>
    </row>
    <row r="74" spans="1:10" x14ac:dyDescent="0.3">
      <c r="A74" s="3" t="s">
        <v>39</v>
      </c>
      <c r="B74" s="3" t="s">
        <v>70</v>
      </c>
      <c r="C74" s="3" t="s">
        <v>13</v>
      </c>
      <c r="D74" s="3" t="s">
        <v>41</v>
      </c>
      <c r="E74" s="3">
        <v>1077.92</v>
      </c>
      <c r="F74" s="3">
        <v>3</v>
      </c>
      <c r="G74" s="3">
        <v>0.2</v>
      </c>
      <c r="H74" s="4">
        <v>45608</v>
      </c>
      <c r="I74" s="3">
        <f>Table2[[#This Row],[Sales]]-Table2[[#This Row],[Sales]]*Table2[[#This Row],[Discount]]</f>
        <v>862.33600000000001</v>
      </c>
      <c r="J74" s="5">
        <f t="shared" ca="1" si="2"/>
        <v>45985.797457870372</v>
      </c>
    </row>
    <row r="75" spans="1:10" x14ac:dyDescent="0.3">
      <c r="A75" s="3" t="s">
        <v>59</v>
      </c>
      <c r="B75" s="3" t="s">
        <v>70</v>
      </c>
      <c r="C75" s="3" t="s">
        <v>19</v>
      </c>
      <c r="D75" s="3" t="s">
        <v>12</v>
      </c>
      <c r="E75" s="3">
        <v>1076.33</v>
      </c>
      <c r="F75" s="3">
        <v>2</v>
      </c>
      <c r="G75" s="3">
        <v>0.2</v>
      </c>
      <c r="H75" s="4">
        <v>45674</v>
      </c>
      <c r="I75" s="3">
        <f>Table2[[#This Row],[Sales]]-Table2[[#This Row],[Sales]]*Table2[[#This Row],[Discount]]</f>
        <v>861.06399999999996</v>
      </c>
      <c r="J75" s="5">
        <f t="shared" ca="1" si="2"/>
        <v>45985.797457870372</v>
      </c>
    </row>
    <row r="76" spans="1:10" x14ac:dyDescent="0.3">
      <c r="A76" s="3" t="s">
        <v>61</v>
      </c>
      <c r="B76" s="3" t="s">
        <v>22</v>
      </c>
      <c r="C76" s="3" t="s">
        <v>43</v>
      </c>
      <c r="D76" s="3" t="s">
        <v>41</v>
      </c>
      <c r="E76" s="3">
        <v>1074.47</v>
      </c>
      <c r="F76" s="3">
        <v>6</v>
      </c>
      <c r="G76" s="3">
        <v>0.2</v>
      </c>
      <c r="H76" s="4">
        <v>45401</v>
      </c>
      <c r="I76" s="3">
        <f>Table2[[#This Row],[Sales]]-Table2[[#This Row],[Sales]]*Table2[[#This Row],[Discount]]</f>
        <v>859.57600000000002</v>
      </c>
      <c r="J76" s="5">
        <f t="shared" ca="1" si="2"/>
        <v>45985.797457870372</v>
      </c>
    </row>
    <row r="77" spans="1:10" x14ac:dyDescent="0.3">
      <c r="A77" s="3" t="s">
        <v>27</v>
      </c>
      <c r="B77" s="3" t="s">
        <v>45</v>
      </c>
      <c r="C77" s="3" t="s">
        <v>19</v>
      </c>
      <c r="D77" s="3" t="s">
        <v>26</v>
      </c>
      <c r="E77" s="3">
        <v>1070.68</v>
      </c>
      <c r="F77" s="3">
        <v>7</v>
      </c>
      <c r="G77" s="3">
        <v>0.2</v>
      </c>
      <c r="H77" s="4">
        <v>45536</v>
      </c>
      <c r="I77" s="3">
        <f>Table2[[#This Row],[Sales]]-Table2[[#This Row],[Sales]]*Table2[[#This Row],[Discount]]</f>
        <v>856.5440000000001</v>
      </c>
      <c r="J77" s="5">
        <f t="shared" ca="1" si="2"/>
        <v>45985.797457870372</v>
      </c>
    </row>
    <row r="78" spans="1:10" x14ac:dyDescent="0.3">
      <c r="A78" s="3" t="s">
        <v>23</v>
      </c>
      <c r="B78" s="3" t="s">
        <v>24</v>
      </c>
      <c r="C78" s="3" t="s">
        <v>29</v>
      </c>
      <c r="D78" s="3" t="s">
        <v>26</v>
      </c>
      <c r="E78" s="3">
        <v>1064.19</v>
      </c>
      <c r="F78" s="3">
        <v>18</v>
      </c>
      <c r="G78" s="3">
        <v>0.2</v>
      </c>
      <c r="H78" s="4">
        <v>45725</v>
      </c>
      <c r="I78" s="3">
        <f>Table2[[#This Row],[Sales]]-Table2[[#This Row],[Sales]]*Table2[[#This Row],[Discount]]</f>
        <v>851.35200000000009</v>
      </c>
      <c r="J78" s="5">
        <f t="shared" ca="1" si="2"/>
        <v>45985.797457870372</v>
      </c>
    </row>
    <row r="79" spans="1:10" x14ac:dyDescent="0.3">
      <c r="A79" s="3" t="s">
        <v>35</v>
      </c>
      <c r="B79" s="3" t="s">
        <v>70</v>
      </c>
      <c r="C79" s="3" t="s">
        <v>29</v>
      </c>
      <c r="D79" s="3" t="s">
        <v>14</v>
      </c>
      <c r="E79" s="3">
        <v>1061.04</v>
      </c>
      <c r="F79" s="3">
        <v>1</v>
      </c>
      <c r="G79" s="3">
        <v>0.2</v>
      </c>
      <c r="H79" s="4">
        <v>45624</v>
      </c>
      <c r="I79" s="3">
        <f>Table2[[#This Row],[Sales]]-Table2[[#This Row],[Sales]]*Table2[[#This Row],[Discount]]</f>
        <v>848.83199999999999</v>
      </c>
      <c r="J79" s="5">
        <f t="shared" ca="1" si="2"/>
        <v>45985.797457870372</v>
      </c>
    </row>
    <row r="80" spans="1:10" x14ac:dyDescent="0.3">
      <c r="A80" s="3" t="s">
        <v>9</v>
      </c>
      <c r="B80" s="3" t="s">
        <v>69</v>
      </c>
      <c r="C80" s="3" t="s">
        <v>29</v>
      </c>
      <c r="D80" s="3" t="s">
        <v>41</v>
      </c>
      <c r="E80" s="3">
        <v>1054.56</v>
      </c>
      <c r="F80" s="3">
        <v>11</v>
      </c>
      <c r="G80" s="3">
        <v>0.2</v>
      </c>
      <c r="H80" s="4">
        <v>45669</v>
      </c>
      <c r="I80" s="3">
        <f>Table2[[#This Row],[Sales]]-Table2[[#This Row],[Sales]]*Table2[[#This Row],[Discount]]</f>
        <v>843.64799999999991</v>
      </c>
      <c r="J80" s="5">
        <f t="shared" ca="1" si="2"/>
        <v>45985.797457870372</v>
      </c>
    </row>
    <row r="81" spans="1:10" x14ac:dyDescent="0.3">
      <c r="A81" s="3" t="s">
        <v>55</v>
      </c>
      <c r="B81" s="3" t="s">
        <v>54</v>
      </c>
      <c r="C81" s="3" t="s">
        <v>11</v>
      </c>
      <c r="D81" s="3" t="s">
        <v>26</v>
      </c>
      <c r="E81" s="3">
        <v>1036.0899999999999</v>
      </c>
      <c r="F81" s="3">
        <v>4</v>
      </c>
      <c r="G81" s="3">
        <v>0.2</v>
      </c>
      <c r="H81" s="4">
        <v>45392</v>
      </c>
      <c r="I81" s="3">
        <f>Table2[[#This Row],[Sales]]-Table2[[#This Row],[Sales]]*Table2[[#This Row],[Discount]]</f>
        <v>828.87199999999996</v>
      </c>
      <c r="J81" s="5">
        <f t="shared" ca="1" si="2"/>
        <v>45985.797457870372</v>
      </c>
    </row>
    <row r="82" spans="1:10" x14ac:dyDescent="0.3">
      <c r="A82" s="3" t="s">
        <v>53</v>
      </c>
      <c r="B82" s="3" t="s">
        <v>10</v>
      </c>
      <c r="C82" s="3" t="s">
        <v>13</v>
      </c>
      <c r="D82" s="3" t="s">
        <v>41</v>
      </c>
      <c r="E82" s="3">
        <v>1034.7</v>
      </c>
      <c r="F82" s="3">
        <v>15</v>
      </c>
      <c r="G82" s="3">
        <v>0.2</v>
      </c>
      <c r="H82" s="4">
        <v>45487</v>
      </c>
      <c r="I82" s="3">
        <f>Table2[[#This Row],[Sales]]-Table2[[#This Row],[Sales]]*Table2[[#This Row],[Discount]]</f>
        <v>827.76</v>
      </c>
      <c r="J82" s="5">
        <f t="shared" ca="1" si="2"/>
        <v>45985.797457870372</v>
      </c>
    </row>
    <row r="83" spans="1:10" x14ac:dyDescent="0.3">
      <c r="A83" s="3" t="s">
        <v>61</v>
      </c>
      <c r="B83" s="3" t="s">
        <v>31</v>
      </c>
      <c r="C83" s="3" t="s">
        <v>11</v>
      </c>
      <c r="D83" s="3" t="s">
        <v>14</v>
      </c>
      <c r="E83" s="3">
        <v>1029.8</v>
      </c>
      <c r="F83" s="3">
        <v>3</v>
      </c>
      <c r="G83" s="3">
        <v>0.2</v>
      </c>
      <c r="H83" s="4">
        <v>45708</v>
      </c>
      <c r="I83" s="3">
        <f>Table2[[#This Row],[Sales]]-Table2[[#This Row],[Sales]]*Table2[[#This Row],[Discount]]</f>
        <v>823.83999999999992</v>
      </c>
      <c r="J83" s="5">
        <f t="shared" ca="1" si="2"/>
        <v>45985.797457870372</v>
      </c>
    </row>
    <row r="84" spans="1:10" x14ac:dyDescent="0.3">
      <c r="A84" s="3" t="s">
        <v>44</v>
      </c>
      <c r="B84" s="3" t="s">
        <v>10</v>
      </c>
      <c r="C84" s="3" t="s">
        <v>19</v>
      </c>
      <c r="D84" s="3" t="s">
        <v>20</v>
      </c>
      <c r="E84" s="3">
        <v>1025.98</v>
      </c>
      <c r="F84" s="3">
        <v>5</v>
      </c>
      <c r="G84" s="3">
        <v>0.2</v>
      </c>
      <c r="H84" s="4">
        <v>45447</v>
      </c>
      <c r="I84" s="3">
        <f>Table2[[#This Row],[Sales]]-Table2[[#This Row],[Sales]]*Table2[[#This Row],[Discount]]</f>
        <v>820.78399999999999</v>
      </c>
      <c r="J84" s="5">
        <f t="shared" ca="1" si="2"/>
        <v>45985.797457870372</v>
      </c>
    </row>
    <row r="85" spans="1:10" x14ac:dyDescent="0.3">
      <c r="A85" s="3" t="s">
        <v>50</v>
      </c>
      <c r="B85" s="3" t="s">
        <v>63</v>
      </c>
      <c r="C85" s="3" t="s">
        <v>19</v>
      </c>
      <c r="D85" s="3" t="s">
        <v>26</v>
      </c>
      <c r="E85" s="3">
        <v>1023.21</v>
      </c>
      <c r="F85" s="3">
        <v>18</v>
      </c>
      <c r="G85" s="3">
        <v>0.2</v>
      </c>
      <c r="H85" s="4">
        <v>45428</v>
      </c>
      <c r="I85" s="3">
        <f>Table2[[#This Row],[Sales]]-Table2[[#This Row],[Sales]]*Table2[[#This Row],[Discount]]</f>
        <v>818.56799999999998</v>
      </c>
      <c r="J85" s="5">
        <f t="shared" ca="1" si="2"/>
        <v>45985.797457870372</v>
      </c>
    </row>
    <row r="86" spans="1:10" x14ac:dyDescent="0.3">
      <c r="A86" s="3" t="s">
        <v>71</v>
      </c>
      <c r="B86" s="3" t="s">
        <v>22</v>
      </c>
      <c r="C86" s="3" t="s">
        <v>19</v>
      </c>
      <c r="D86" s="3" t="s">
        <v>12</v>
      </c>
      <c r="E86" s="3">
        <v>1022.23</v>
      </c>
      <c r="F86" s="3">
        <v>8</v>
      </c>
      <c r="G86" s="3">
        <v>0.2</v>
      </c>
      <c r="H86" s="4">
        <v>45717</v>
      </c>
      <c r="I86" s="3">
        <f>Table2[[#This Row],[Sales]]-Table2[[#This Row],[Sales]]*Table2[[#This Row],[Discount]]</f>
        <v>817.78399999999999</v>
      </c>
      <c r="J86" s="5">
        <f t="shared" ca="1" si="2"/>
        <v>45985.797457870372</v>
      </c>
    </row>
    <row r="87" spans="1:10" x14ac:dyDescent="0.3">
      <c r="A87" s="3" t="s">
        <v>30</v>
      </c>
      <c r="B87" s="3" t="s">
        <v>56</v>
      </c>
      <c r="C87" s="3" t="s">
        <v>29</v>
      </c>
      <c r="D87" s="3" t="s">
        <v>14</v>
      </c>
      <c r="E87" s="3">
        <v>1021.47</v>
      </c>
      <c r="F87" s="3">
        <v>6</v>
      </c>
      <c r="G87" s="3">
        <v>0.2</v>
      </c>
      <c r="H87" s="4">
        <v>45461</v>
      </c>
      <c r="I87" s="3">
        <f>Table2[[#This Row],[Sales]]-Table2[[#This Row],[Sales]]*Table2[[#This Row],[Discount]]</f>
        <v>817.17600000000004</v>
      </c>
      <c r="J87" s="5">
        <f t="shared" ca="1" si="2"/>
        <v>45985.797457870372</v>
      </c>
    </row>
    <row r="88" spans="1:10" x14ac:dyDescent="0.3">
      <c r="A88" s="3" t="s">
        <v>46</v>
      </c>
      <c r="B88" s="3" t="s">
        <v>18</v>
      </c>
      <c r="C88" s="3" t="s">
        <v>13</v>
      </c>
      <c r="D88" s="3" t="s">
        <v>14</v>
      </c>
      <c r="E88" s="3">
        <v>1020.26</v>
      </c>
      <c r="F88" s="3">
        <v>11</v>
      </c>
      <c r="G88" s="3">
        <v>0.2</v>
      </c>
      <c r="H88" s="4">
        <v>45494</v>
      </c>
      <c r="I88" s="3">
        <f>Table2[[#This Row],[Sales]]-Table2[[#This Row],[Sales]]*Table2[[#This Row],[Discount]]</f>
        <v>816.20799999999997</v>
      </c>
      <c r="J88" s="5">
        <f t="shared" ca="1" si="2"/>
        <v>45985.797457870372</v>
      </c>
    </row>
    <row r="89" spans="1:10" x14ac:dyDescent="0.3">
      <c r="A89" s="3" t="s">
        <v>37</v>
      </c>
      <c r="B89" s="3" t="s">
        <v>70</v>
      </c>
      <c r="C89" s="3" t="s">
        <v>43</v>
      </c>
      <c r="D89" s="3" t="s">
        <v>20</v>
      </c>
      <c r="E89" s="3">
        <v>1014.56</v>
      </c>
      <c r="F89" s="3">
        <v>10</v>
      </c>
      <c r="G89" s="3">
        <v>0.2</v>
      </c>
      <c r="H89" s="4">
        <v>45612</v>
      </c>
      <c r="I89" s="3">
        <f>Table2[[#This Row],[Sales]]-Table2[[#This Row],[Sales]]*Table2[[#This Row],[Discount]]</f>
        <v>811.64799999999991</v>
      </c>
      <c r="J89" s="5">
        <f t="shared" ca="1" si="2"/>
        <v>45985.797457870372</v>
      </c>
    </row>
    <row r="90" spans="1:10" x14ac:dyDescent="0.3">
      <c r="A90" s="3" t="s">
        <v>60</v>
      </c>
      <c r="B90" s="3" t="s">
        <v>16</v>
      </c>
      <c r="C90" s="3" t="s">
        <v>19</v>
      </c>
      <c r="D90" s="3" t="s">
        <v>26</v>
      </c>
      <c r="E90" s="3">
        <v>1014.43</v>
      </c>
      <c r="F90" s="3">
        <v>2</v>
      </c>
      <c r="G90" s="3">
        <v>0.2</v>
      </c>
      <c r="H90" s="4">
        <v>45713</v>
      </c>
      <c r="I90" s="3">
        <f>Table2[[#This Row],[Sales]]-Table2[[#This Row],[Sales]]*Table2[[#This Row],[Discount]]</f>
        <v>811.54399999999998</v>
      </c>
      <c r="J90" s="5">
        <f t="shared" ca="1" si="2"/>
        <v>45985.797457870372</v>
      </c>
    </row>
    <row r="91" spans="1:10" x14ac:dyDescent="0.3">
      <c r="A91" s="3" t="s">
        <v>59</v>
      </c>
      <c r="B91" s="3" t="s">
        <v>10</v>
      </c>
      <c r="C91" s="3" t="s">
        <v>43</v>
      </c>
      <c r="D91" s="3" t="s">
        <v>20</v>
      </c>
      <c r="E91" s="3">
        <v>1014.22</v>
      </c>
      <c r="F91" s="3">
        <v>14</v>
      </c>
      <c r="G91" s="3">
        <v>0.2</v>
      </c>
      <c r="H91" s="4">
        <v>45599</v>
      </c>
      <c r="I91" s="3">
        <f>Table2[[#This Row],[Sales]]-Table2[[#This Row],[Sales]]*Table2[[#This Row],[Discount]]</f>
        <v>811.37599999999998</v>
      </c>
      <c r="J91" s="5">
        <f t="shared" ca="1" si="2"/>
        <v>45985.797457870372</v>
      </c>
    </row>
    <row r="92" spans="1:10" x14ac:dyDescent="0.3">
      <c r="A92" s="3" t="s">
        <v>59</v>
      </c>
      <c r="B92" s="3" t="s">
        <v>63</v>
      </c>
      <c r="C92" s="3" t="s">
        <v>19</v>
      </c>
      <c r="D92" s="3" t="s">
        <v>14</v>
      </c>
      <c r="E92" s="3">
        <v>1014.09</v>
      </c>
      <c r="F92" s="3">
        <v>13</v>
      </c>
      <c r="G92" s="3">
        <v>0.2</v>
      </c>
      <c r="H92" s="4">
        <v>45567</v>
      </c>
      <c r="I92" s="3">
        <f>Table2[[#This Row],[Sales]]-Table2[[#This Row],[Sales]]*Table2[[#This Row],[Discount]]</f>
        <v>811.27200000000005</v>
      </c>
      <c r="J92" s="5">
        <f t="shared" ca="1" si="2"/>
        <v>45985.797457870372</v>
      </c>
    </row>
    <row r="93" spans="1:10" x14ac:dyDescent="0.3">
      <c r="A93" s="3" t="s">
        <v>37</v>
      </c>
      <c r="B93" s="3" t="s">
        <v>45</v>
      </c>
      <c r="C93" s="3" t="s">
        <v>43</v>
      </c>
      <c r="D93" s="3" t="s">
        <v>26</v>
      </c>
      <c r="E93" s="3">
        <v>1010.58</v>
      </c>
      <c r="F93" s="3">
        <v>2</v>
      </c>
      <c r="G93" s="3">
        <v>0.2</v>
      </c>
      <c r="H93" s="4">
        <v>45605</v>
      </c>
      <c r="I93" s="3">
        <f>Table2[[#This Row],[Sales]]-Table2[[#This Row],[Sales]]*Table2[[#This Row],[Discount]]</f>
        <v>808.46400000000006</v>
      </c>
      <c r="J93" s="5">
        <f t="shared" ca="1" si="2"/>
        <v>45985.797457870372</v>
      </c>
    </row>
    <row r="94" spans="1:10" x14ac:dyDescent="0.3">
      <c r="A94" s="3" t="s">
        <v>53</v>
      </c>
      <c r="B94" s="3" t="s">
        <v>54</v>
      </c>
      <c r="C94" s="3" t="s">
        <v>11</v>
      </c>
      <c r="D94" s="3" t="s">
        <v>14</v>
      </c>
      <c r="E94" s="3">
        <v>1005.53</v>
      </c>
      <c r="F94" s="3">
        <v>17</v>
      </c>
      <c r="G94" s="3">
        <v>0.2</v>
      </c>
      <c r="H94" s="4">
        <v>45481</v>
      </c>
      <c r="I94" s="3">
        <f>Table2[[#This Row],[Sales]]-Table2[[#This Row],[Sales]]*Table2[[#This Row],[Discount]]</f>
        <v>804.42399999999998</v>
      </c>
      <c r="J94" s="5">
        <f t="shared" ca="1" si="2"/>
        <v>45985.797457870372</v>
      </c>
    </row>
    <row r="95" spans="1:10" x14ac:dyDescent="0.3">
      <c r="A95" s="3" t="s">
        <v>64</v>
      </c>
      <c r="B95" s="3" t="s">
        <v>22</v>
      </c>
      <c r="C95" s="3" t="s">
        <v>13</v>
      </c>
      <c r="D95" s="3" t="s">
        <v>20</v>
      </c>
      <c r="E95" s="3">
        <v>1001.57</v>
      </c>
      <c r="F95" s="3">
        <v>12</v>
      </c>
      <c r="G95" s="3">
        <v>0.2</v>
      </c>
      <c r="H95" s="4">
        <v>45450</v>
      </c>
      <c r="I95" s="3">
        <f>Table2[[#This Row],[Sales]]-Table2[[#This Row],[Sales]]*Table2[[#This Row],[Discount]]</f>
        <v>801.25600000000009</v>
      </c>
      <c r="J95" s="5">
        <f t="shared" ca="1" si="2"/>
        <v>45985.797457870372</v>
      </c>
    </row>
    <row r="96" spans="1:10" x14ac:dyDescent="0.3">
      <c r="A96" s="3" t="s">
        <v>65</v>
      </c>
      <c r="B96" s="3" t="s">
        <v>34</v>
      </c>
      <c r="C96" s="3" t="s">
        <v>43</v>
      </c>
      <c r="D96" s="3" t="s">
        <v>26</v>
      </c>
      <c r="E96" s="3">
        <v>997.61</v>
      </c>
      <c r="F96" s="3">
        <v>8</v>
      </c>
      <c r="G96" s="3">
        <v>0.2</v>
      </c>
      <c r="H96" s="4">
        <v>45752</v>
      </c>
      <c r="I96" s="3">
        <f>Table2[[#This Row],[Sales]]-Table2[[#This Row],[Sales]]*Table2[[#This Row],[Discount]]</f>
        <v>798.08799999999997</v>
      </c>
      <c r="J96" s="5">
        <f t="shared" ca="1" si="2"/>
        <v>45985.797457870372</v>
      </c>
    </row>
    <row r="97" spans="1:10" x14ac:dyDescent="0.3">
      <c r="A97" s="3" t="s">
        <v>72</v>
      </c>
      <c r="B97" s="3" t="s">
        <v>40</v>
      </c>
      <c r="C97" s="3" t="s">
        <v>13</v>
      </c>
      <c r="D97" s="3" t="s">
        <v>12</v>
      </c>
      <c r="E97" s="3">
        <v>990.19</v>
      </c>
      <c r="F97" s="3">
        <v>8</v>
      </c>
      <c r="G97" s="3">
        <v>0.2</v>
      </c>
      <c r="H97" s="4">
        <v>45565</v>
      </c>
      <c r="I97" s="3">
        <f>Table2[[#This Row],[Sales]]-Table2[[#This Row],[Sales]]*Table2[[#This Row],[Discount]]</f>
        <v>792.15200000000004</v>
      </c>
      <c r="J97" s="5">
        <f t="shared" ca="1" si="2"/>
        <v>45985.797457870372</v>
      </c>
    </row>
    <row r="98" spans="1:10" x14ac:dyDescent="0.3">
      <c r="A98" s="3" t="s">
        <v>46</v>
      </c>
      <c r="B98" s="3" t="s">
        <v>31</v>
      </c>
      <c r="C98" s="3" t="s">
        <v>11</v>
      </c>
      <c r="D98" s="3" t="s">
        <v>41</v>
      </c>
      <c r="E98" s="3">
        <v>984.93</v>
      </c>
      <c r="F98" s="3">
        <v>14</v>
      </c>
      <c r="G98" s="3">
        <v>0.2</v>
      </c>
      <c r="H98" s="4">
        <v>45733</v>
      </c>
      <c r="I98" s="3">
        <f>Table2[[#This Row],[Sales]]-Table2[[#This Row],[Sales]]*Table2[[#This Row],[Discount]]</f>
        <v>787.94399999999996</v>
      </c>
      <c r="J98" s="5">
        <f t="shared" ca="1" si="2"/>
        <v>45985.797457870372</v>
      </c>
    </row>
    <row r="99" spans="1:10" x14ac:dyDescent="0.3">
      <c r="A99" s="3" t="s">
        <v>44</v>
      </c>
      <c r="B99" s="3" t="s">
        <v>16</v>
      </c>
      <c r="C99" s="3" t="s">
        <v>43</v>
      </c>
      <c r="D99" s="3" t="s">
        <v>20</v>
      </c>
      <c r="E99" s="3">
        <v>983.34</v>
      </c>
      <c r="F99" s="3">
        <v>19</v>
      </c>
      <c r="G99" s="3">
        <v>0.2</v>
      </c>
      <c r="H99" s="4">
        <v>45426</v>
      </c>
      <c r="I99" s="3">
        <f>Table2[[#This Row],[Sales]]-Table2[[#This Row],[Sales]]*Table2[[#This Row],[Discount]]</f>
        <v>786.67200000000003</v>
      </c>
      <c r="J99" s="5">
        <f t="shared" ca="1" si="2"/>
        <v>45985.797457870372</v>
      </c>
    </row>
    <row r="100" spans="1:10" x14ac:dyDescent="0.3">
      <c r="A100" s="3" t="s">
        <v>47</v>
      </c>
      <c r="B100" s="3" t="s">
        <v>73</v>
      </c>
      <c r="C100" s="3" t="s">
        <v>29</v>
      </c>
      <c r="D100" s="3" t="s">
        <v>20</v>
      </c>
      <c r="E100" s="3">
        <v>981.2</v>
      </c>
      <c r="F100" s="3">
        <v>19</v>
      </c>
      <c r="G100" s="3">
        <v>0.2</v>
      </c>
      <c r="H100" s="4">
        <v>45504</v>
      </c>
      <c r="I100" s="3">
        <f>Table2[[#This Row],[Sales]]-Table2[[#This Row],[Sales]]*Table2[[#This Row],[Discount]]</f>
        <v>784.96</v>
      </c>
      <c r="J100" s="5">
        <f t="shared" ca="1" si="2"/>
        <v>45985.797457870372</v>
      </c>
    </row>
    <row r="101" spans="1:10" x14ac:dyDescent="0.3">
      <c r="A101" s="3" t="s">
        <v>15</v>
      </c>
      <c r="B101" s="3" t="s">
        <v>62</v>
      </c>
      <c r="C101" s="3" t="s">
        <v>43</v>
      </c>
      <c r="D101" s="3" t="s">
        <v>26</v>
      </c>
      <c r="E101" s="3">
        <v>980.18</v>
      </c>
      <c r="F101" s="3">
        <v>16</v>
      </c>
      <c r="G101" s="3">
        <v>0.2</v>
      </c>
      <c r="H101" s="4">
        <v>45582</v>
      </c>
      <c r="I101" s="3">
        <f>Table2[[#This Row],[Sales]]-Table2[[#This Row],[Sales]]*Table2[[#This Row],[Discount]]</f>
        <v>784.14400000000001</v>
      </c>
      <c r="J101" s="5">
        <f t="shared" ca="1" si="2"/>
        <v>45985.797457870372</v>
      </c>
    </row>
    <row r="102" spans="1:10" x14ac:dyDescent="0.3">
      <c r="A102" s="3" t="s">
        <v>57</v>
      </c>
      <c r="B102" s="3" t="s">
        <v>62</v>
      </c>
      <c r="C102" s="3" t="s">
        <v>19</v>
      </c>
      <c r="D102" s="3" t="s">
        <v>26</v>
      </c>
      <c r="E102" s="3">
        <v>973.26</v>
      </c>
      <c r="F102" s="3">
        <v>11</v>
      </c>
      <c r="G102" s="3">
        <v>0.2</v>
      </c>
      <c r="H102" s="4">
        <v>45470</v>
      </c>
      <c r="I102" s="3">
        <f>Table2[[#This Row],[Sales]]-Table2[[#This Row],[Sales]]*Table2[[#This Row],[Discount]]</f>
        <v>778.60799999999995</v>
      </c>
      <c r="J102" s="5">
        <f t="shared" ca="1" si="2"/>
        <v>45985.797457870372</v>
      </c>
    </row>
    <row r="103" spans="1:10" x14ac:dyDescent="0.3">
      <c r="A103" s="3" t="s">
        <v>46</v>
      </c>
      <c r="B103" s="3" t="s">
        <v>28</v>
      </c>
      <c r="C103" s="3" t="s">
        <v>29</v>
      </c>
      <c r="D103" s="3" t="s">
        <v>14</v>
      </c>
      <c r="E103" s="3">
        <v>967.89</v>
      </c>
      <c r="F103" s="3">
        <v>10</v>
      </c>
      <c r="G103" s="3">
        <v>0.2</v>
      </c>
      <c r="H103" s="4">
        <v>45429</v>
      </c>
      <c r="I103" s="3">
        <f>Table2[[#This Row],[Sales]]-Table2[[#This Row],[Sales]]*Table2[[#This Row],[Discount]]</f>
        <v>774.31200000000001</v>
      </c>
      <c r="J103" s="5">
        <f t="shared" ca="1" si="2"/>
        <v>45985.797457870372</v>
      </c>
    </row>
    <row r="104" spans="1:10" x14ac:dyDescent="0.3">
      <c r="A104" s="3" t="s">
        <v>35</v>
      </c>
      <c r="B104" s="3" t="s">
        <v>18</v>
      </c>
      <c r="C104" s="3" t="s">
        <v>29</v>
      </c>
      <c r="D104" s="3" t="s">
        <v>26</v>
      </c>
      <c r="E104" s="3">
        <v>966.3</v>
      </c>
      <c r="F104" s="3">
        <v>2</v>
      </c>
      <c r="G104" s="3">
        <v>0.2</v>
      </c>
      <c r="H104" s="4">
        <v>45557</v>
      </c>
      <c r="I104" s="3">
        <f>Table2[[#This Row],[Sales]]-Table2[[#This Row],[Sales]]*Table2[[#This Row],[Discount]]</f>
        <v>773.04</v>
      </c>
      <c r="J104" s="5">
        <f t="shared" ca="1" si="2"/>
        <v>45985.797457870372</v>
      </c>
    </row>
    <row r="105" spans="1:10" x14ac:dyDescent="0.3">
      <c r="A105" s="3" t="s">
        <v>30</v>
      </c>
      <c r="B105" s="3" t="s">
        <v>40</v>
      </c>
      <c r="C105" s="3" t="s">
        <v>13</v>
      </c>
      <c r="D105" s="3" t="s">
        <v>41</v>
      </c>
      <c r="E105" s="3">
        <v>965.64</v>
      </c>
      <c r="F105" s="3">
        <v>8</v>
      </c>
      <c r="G105" s="3">
        <v>0.2</v>
      </c>
      <c r="H105" s="4">
        <v>45398</v>
      </c>
      <c r="I105" s="3">
        <f>Table2[[#This Row],[Sales]]-Table2[[#This Row],[Sales]]*Table2[[#This Row],[Discount]]</f>
        <v>772.51199999999994</v>
      </c>
      <c r="J105" s="5">
        <f t="shared" ca="1" si="2"/>
        <v>45985.797457870372</v>
      </c>
    </row>
    <row r="106" spans="1:10" x14ac:dyDescent="0.3">
      <c r="A106" s="3" t="s">
        <v>23</v>
      </c>
      <c r="B106" s="3" t="s">
        <v>38</v>
      </c>
      <c r="C106" s="3" t="s">
        <v>29</v>
      </c>
      <c r="D106" s="3" t="s">
        <v>26</v>
      </c>
      <c r="E106" s="3">
        <v>961.62</v>
      </c>
      <c r="F106" s="3">
        <v>8</v>
      </c>
      <c r="G106" s="3">
        <v>0.2</v>
      </c>
      <c r="H106" s="4">
        <v>45577</v>
      </c>
      <c r="I106" s="3">
        <f>Table2[[#This Row],[Sales]]-Table2[[#This Row],[Sales]]*Table2[[#This Row],[Discount]]</f>
        <v>769.29600000000005</v>
      </c>
      <c r="J106" s="5">
        <f t="shared" ca="1" si="2"/>
        <v>45985.797457870372</v>
      </c>
    </row>
    <row r="107" spans="1:10" x14ac:dyDescent="0.3">
      <c r="A107" s="3" t="s">
        <v>61</v>
      </c>
      <c r="B107" s="3" t="s">
        <v>49</v>
      </c>
      <c r="C107" s="3" t="s">
        <v>13</v>
      </c>
      <c r="D107" s="3" t="s">
        <v>41</v>
      </c>
      <c r="E107" s="3">
        <v>957.29</v>
      </c>
      <c r="F107" s="3">
        <v>4</v>
      </c>
      <c r="G107" s="3">
        <v>0.2</v>
      </c>
      <c r="H107" s="4">
        <v>45605</v>
      </c>
      <c r="I107" s="3">
        <f>Table2[[#This Row],[Sales]]-Table2[[#This Row],[Sales]]*Table2[[#This Row],[Discount]]</f>
        <v>765.83199999999999</v>
      </c>
      <c r="J107" s="5">
        <f t="shared" ca="1" si="2"/>
        <v>45985.797457870372</v>
      </c>
    </row>
    <row r="108" spans="1:10" x14ac:dyDescent="0.3">
      <c r="A108" s="3" t="s">
        <v>30</v>
      </c>
      <c r="B108" s="3" t="s">
        <v>45</v>
      </c>
      <c r="C108" s="3" t="s">
        <v>29</v>
      </c>
      <c r="D108" s="3" t="s">
        <v>12</v>
      </c>
      <c r="E108" s="3">
        <v>953.3</v>
      </c>
      <c r="F108" s="3">
        <v>11</v>
      </c>
      <c r="G108" s="3">
        <v>0.2</v>
      </c>
      <c r="H108" s="4">
        <v>45415</v>
      </c>
      <c r="I108" s="3">
        <f>Table2[[#This Row],[Sales]]-Table2[[#This Row],[Sales]]*Table2[[#This Row],[Discount]]</f>
        <v>762.64</v>
      </c>
      <c r="J108" s="5">
        <f t="shared" ca="1" si="2"/>
        <v>45985.797457870372</v>
      </c>
    </row>
    <row r="109" spans="1:10" x14ac:dyDescent="0.3">
      <c r="A109" s="3" t="s">
        <v>17</v>
      </c>
      <c r="B109" s="3" t="s">
        <v>45</v>
      </c>
      <c r="C109" s="3" t="s">
        <v>11</v>
      </c>
      <c r="D109" s="3" t="s">
        <v>26</v>
      </c>
      <c r="E109" s="3">
        <v>942.9</v>
      </c>
      <c r="F109" s="3">
        <v>18</v>
      </c>
      <c r="G109" s="3">
        <v>0.2</v>
      </c>
      <c r="H109" s="4">
        <v>45466</v>
      </c>
      <c r="I109" s="3">
        <f>Table2[[#This Row],[Sales]]-Table2[[#This Row],[Sales]]*Table2[[#This Row],[Discount]]</f>
        <v>754.31999999999994</v>
      </c>
      <c r="J109" s="5">
        <f t="shared" ca="1" si="2"/>
        <v>45985.797457870372</v>
      </c>
    </row>
    <row r="110" spans="1:10" x14ac:dyDescent="0.3">
      <c r="A110" s="3" t="s">
        <v>30</v>
      </c>
      <c r="B110" s="3" t="s">
        <v>69</v>
      </c>
      <c r="C110" s="3" t="s">
        <v>19</v>
      </c>
      <c r="D110" s="3" t="s">
        <v>26</v>
      </c>
      <c r="E110" s="3">
        <v>939.09</v>
      </c>
      <c r="F110" s="3">
        <v>2</v>
      </c>
      <c r="G110" s="3">
        <v>0.2</v>
      </c>
      <c r="H110" s="4">
        <v>45422</v>
      </c>
      <c r="I110" s="3">
        <f>Table2[[#This Row],[Sales]]-Table2[[#This Row],[Sales]]*Table2[[#This Row],[Discount]]</f>
        <v>751.27200000000005</v>
      </c>
      <c r="J110" s="5">
        <f t="shared" ca="1" si="2"/>
        <v>45985.797457870372</v>
      </c>
    </row>
    <row r="111" spans="1:10" x14ac:dyDescent="0.3">
      <c r="A111" s="3" t="s">
        <v>23</v>
      </c>
      <c r="B111" s="3" t="s">
        <v>28</v>
      </c>
      <c r="C111" s="3" t="s">
        <v>11</v>
      </c>
      <c r="D111" s="3" t="s">
        <v>12</v>
      </c>
      <c r="E111" s="3">
        <v>934.27</v>
      </c>
      <c r="F111" s="3">
        <v>8</v>
      </c>
      <c r="G111" s="3">
        <v>0.2</v>
      </c>
      <c r="H111" s="4">
        <v>45746</v>
      </c>
      <c r="I111" s="3">
        <f>Table2[[#This Row],[Sales]]-Table2[[#This Row],[Sales]]*Table2[[#This Row],[Discount]]</f>
        <v>747.41599999999994</v>
      </c>
      <c r="J111" s="5">
        <f t="shared" ca="1" si="2"/>
        <v>45985.797457870372</v>
      </c>
    </row>
    <row r="112" spans="1:10" x14ac:dyDescent="0.3">
      <c r="A112" s="3" t="s">
        <v>61</v>
      </c>
      <c r="B112" s="3" t="s">
        <v>22</v>
      </c>
      <c r="C112" s="3" t="s">
        <v>43</v>
      </c>
      <c r="D112" s="3" t="s">
        <v>41</v>
      </c>
      <c r="E112" s="3">
        <v>933.71</v>
      </c>
      <c r="F112" s="3">
        <v>17</v>
      </c>
      <c r="G112" s="3">
        <v>0.2</v>
      </c>
      <c r="H112" s="4">
        <v>45481</v>
      </c>
      <c r="I112" s="3">
        <f>Table2[[#This Row],[Sales]]-Table2[[#This Row],[Sales]]*Table2[[#This Row],[Discount]]</f>
        <v>746.96800000000007</v>
      </c>
      <c r="J112" s="5">
        <f t="shared" ca="1" si="2"/>
        <v>45985.797457870372</v>
      </c>
    </row>
    <row r="113" spans="1:10" x14ac:dyDescent="0.3">
      <c r="A113" s="3" t="s">
        <v>72</v>
      </c>
      <c r="B113" s="3" t="s">
        <v>34</v>
      </c>
      <c r="C113" s="3" t="s">
        <v>29</v>
      </c>
      <c r="D113" s="3" t="s">
        <v>12</v>
      </c>
      <c r="E113" s="3">
        <v>928.32</v>
      </c>
      <c r="F113" s="3">
        <v>2</v>
      </c>
      <c r="G113" s="3">
        <v>0.2</v>
      </c>
      <c r="H113" s="4">
        <v>45754</v>
      </c>
      <c r="I113" s="3">
        <f>Table2[[#This Row],[Sales]]-Table2[[#This Row],[Sales]]*Table2[[#This Row],[Discount]]</f>
        <v>742.65600000000006</v>
      </c>
      <c r="J113" s="5">
        <f t="shared" ca="1" si="2"/>
        <v>45985.797457870372</v>
      </c>
    </row>
    <row r="114" spans="1:10" x14ac:dyDescent="0.3">
      <c r="A114" s="3" t="s">
        <v>48</v>
      </c>
      <c r="B114" s="3" t="s">
        <v>22</v>
      </c>
      <c r="C114" s="3" t="s">
        <v>19</v>
      </c>
      <c r="D114" s="3" t="s">
        <v>20</v>
      </c>
      <c r="E114" s="3">
        <v>925.31</v>
      </c>
      <c r="F114" s="3">
        <v>8</v>
      </c>
      <c r="G114" s="3">
        <v>0.2</v>
      </c>
      <c r="H114" s="4">
        <v>45418</v>
      </c>
      <c r="I114" s="3">
        <f>Table2[[#This Row],[Sales]]-Table2[[#This Row],[Sales]]*Table2[[#This Row],[Discount]]</f>
        <v>740.24799999999993</v>
      </c>
      <c r="J114" s="5">
        <f t="shared" ca="1" si="2"/>
        <v>45985.797457870372</v>
      </c>
    </row>
    <row r="115" spans="1:10" x14ac:dyDescent="0.3">
      <c r="A115" s="3" t="s">
        <v>48</v>
      </c>
      <c r="B115" s="3" t="s">
        <v>45</v>
      </c>
      <c r="C115" s="3" t="s">
        <v>13</v>
      </c>
      <c r="D115" s="3" t="s">
        <v>14</v>
      </c>
      <c r="E115" s="3">
        <v>925.29</v>
      </c>
      <c r="F115" s="3">
        <v>17</v>
      </c>
      <c r="G115" s="3">
        <v>0.2</v>
      </c>
      <c r="H115" s="4">
        <v>45570</v>
      </c>
      <c r="I115" s="3">
        <f>Table2[[#This Row],[Sales]]-Table2[[#This Row],[Sales]]*Table2[[#This Row],[Discount]]</f>
        <v>740.23199999999997</v>
      </c>
      <c r="J115" s="5">
        <f t="shared" ca="1" si="2"/>
        <v>45985.797457870372</v>
      </c>
    </row>
    <row r="116" spans="1:10" x14ac:dyDescent="0.3">
      <c r="A116" s="3" t="s">
        <v>66</v>
      </c>
      <c r="B116" s="3" t="s">
        <v>70</v>
      </c>
      <c r="C116" s="3" t="s">
        <v>43</v>
      </c>
      <c r="D116" s="3" t="s">
        <v>14</v>
      </c>
      <c r="E116" s="3">
        <v>919.18</v>
      </c>
      <c r="F116" s="3">
        <v>4</v>
      </c>
      <c r="G116" s="3">
        <v>0.2</v>
      </c>
      <c r="H116" s="4">
        <v>45615</v>
      </c>
      <c r="I116" s="3">
        <f>Table2[[#This Row],[Sales]]-Table2[[#This Row],[Sales]]*Table2[[#This Row],[Discount]]</f>
        <v>735.34399999999994</v>
      </c>
      <c r="J116" s="5">
        <f t="shared" ca="1" si="2"/>
        <v>45985.797457870372</v>
      </c>
    </row>
    <row r="117" spans="1:10" x14ac:dyDescent="0.3">
      <c r="A117" s="3" t="s">
        <v>27</v>
      </c>
      <c r="B117" s="3" t="s">
        <v>69</v>
      </c>
      <c r="C117" s="3" t="s">
        <v>29</v>
      </c>
      <c r="D117" s="3" t="s">
        <v>41</v>
      </c>
      <c r="E117" s="3">
        <v>919.04</v>
      </c>
      <c r="F117" s="3">
        <v>10</v>
      </c>
      <c r="G117" s="3">
        <v>0.2</v>
      </c>
      <c r="H117" s="4">
        <v>45468</v>
      </c>
      <c r="I117" s="3">
        <f>Table2[[#This Row],[Sales]]-Table2[[#This Row],[Sales]]*Table2[[#This Row],[Discount]]</f>
        <v>735.23199999999997</v>
      </c>
      <c r="J117" s="5">
        <f t="shared" ca="1" si="2"/>
        <v>45985.797457870372</v>
      </c>
    </row>
    <row r="118" spans="1:10" x14ac:dyDescent="0.3">
      <c r="A118" s="3" t="s">
        <v>47</v>
      </c>
      <c r="B118" s="3" t="s">
        <v>58</v>
      </c>
      <c r="C118" s="3" t="s">
        <v>29</v>
      </c>
      <c r="D118" s="3" t="s">
        <v>26</v>
      </c>
      <c r="E118" s="3">
        <v>917.48</v>
      </c>
      <c r="F118" s="3">
        <v>6</v>
      </c>
      <c r="G118" s="3">
        <v>0.2</v>
      </c>
      <c r="H118" s="4">
        <v>45558</v>
      </c>
      <c r="I118" s="3">
        <f>Table2[[#This Row],[Sales]]-Table2[[#This Row],[Sales]]*Table2[[#This Row],[Discount]]</f>
        <v>733.98400000000004</v>
      </c>
      <c r="J118" s="5">
        <f t="shared" ca="1" si="2"/>
        <v>45985.797457870372</v>
      </c>
    </row>
    <row r="119" spans="1:10" x14ac:dyDescent="0.3">
      <c r="A119" s="3" t="s">
        <v>53</v>
      </c>
      <c r="B119" s="3" t="s">
        <v>10</v>
      </c>
      <c r="C119" s="3" t="s">
        <v>19</v>
      </c>
      <c r="D119" s="3" t="s">
        <v>12</v>
      </c>
      <c r="E119" s="3">
        <v>902.19</v>
      </c>
      <c r="F119" s="3">
        <v>12</v>
      </c>
      <c r="G119" s="3">
        <v>0.2</v>
      </c>
      <c r="H119" s="4">
        <v>45564</v>
      </c>
      <c r="I119" s="3">
        <f>Table2[[#This Row],[Sales]]-Table2[[#This Row],[Sales]]*Table2[[#This Row],[Discount]]</f>
        <v>721.75200000000007</v>
      </c>
      <c r="J119" s="5">
        <f t="shared" ca="1" si="2"/>
        <v>45985.797457870372</v>
      </c>
    </row>
    <row r="120" spans="1:10" x14ac:dyDescent="0.3">
      <c r="A120" s="3" t="s">
        <v>39</v>
      </c>
      <c r="B120" s="3" t="s">
        <v>28</v>
      </c>
      <c r="C120" s="3" t="s">
        <v>11</v>
      </c>
      <c r="D120" s="3" t="s">
        <v>14</v>
      </c>
      <c r="E120" s="3">
        <v>894.55</v>
      </c>
      <c r="F120" s="3">
        <v>19</v>
      </c>
      <c r="G120" s="3">
        <v>0.2</v>
      </c>
      <c r="H120" s="4">
        <v>45625</v>
      </c>
      <c r="I120" s="3">
        <f>Table2[[#This Row],[Sales]]-Table2[[#This Row],[Sales]]*Table2[[#This Row],[Discount]]</f>
        <v>715.64</v>
      </c>
      <c r="J120" s="5">
        <f t="shared" ca="1" si="2"/>
        <v>45985.797457870372</v>
      </c>
    </row>
    <row r="121" spans="1:10" x14ac:dyDescent="0.3">
      <c r="A121" s="3" t="s">
        <v>64</v>
      </c>
      <c r="B121" s="3" t="s">
        <v>33</v>
      </c>
      <c r="C121" s="3" t="s">
        <v>13</v>
      </c>
      <c r="D121" s="3" t="s">
        <v>26</v>
      </c>
      <c r="E121" s="3">
        <v>884.63</v>
      </c>
      <c r="F121" s="3">
        <v>18</v>
      </c>
      <c r="G121" s="3">
        <v>0.2</v>
      </c>
      <c r="H121" s="4">
        <v>45659</v>
      </c>
      <c r="I121" s="3">
        <f>Table2[[#This Row],[Sales]]-Table2[[#This Row],[Sales]]*Table2[[#This Row],[Discount]]</f>
        <v>707.70399999999995</v>
      </c>
      <c r="J121" s="5">
        <f t="shared" ca="1" si="2"/>
        <v>45985.797457870372</v>
      </c>
    </row>
    <row r="122" spans="1:10" x14ac:dyDescent="0.3">
      <c r="A122" s="3" t="s">
        <v>59</v>
      </c>
      <c r="B122" s="3" t="s">
        <v>69</v>
      </c>
      <c r="C122" s="3" t="s">
        <v>29</v>
      </c>
      <c r="D122" s="3" t="s">
        <v>26</v>
      </c>
      <c r="E122" s="3">
        <v>877.58</v>
      </c>
      <c r="F122" s="3">
        <v>10</v>
      </c>
      <c r="G122" s="3">
        <v>0.2</v>
      </c>
      <c r="H122" s="4">
        <v>45411</v>
      </c>
      <c r="I122" s="3">
        <f>Table2[[#This Row],[Sales]]-Table2[[#This Row],[Sales]]*Table2[[#This Row],[Discount]]</f>
        <v>702.06400000000008</v>
      </c>
      <c r="J122" s="5">
        <f t="shared" ca="1" si="2"/>
        <v>45985.797457870372</v>
      </c>
    </row>
    <row r="123" spans="1:10" x14ac:dyDescent="0.3">
      <c r="A123" s="3" t="s">
        <v>17</v>
      </c>
      <c r="B123" s="3" t="s">
        <v>22</v>
      </c>
      <c r="C123" s="3" t="s">
        <v>29</v>
      </c>
      <c r="D123" s="3" t="s">
        <v>26</v>
      </c>
      <c r="E123" s="3">
        <v>876.44</v>
      </c>
      <c r="F123" s="3">
        <v>12</v>
      </c>
      <c r="G123" s="3">
        <v>0.2</v>
      </c>
      <c r="H123" s="4">
        <v>45488</v>
      </c>
      <c r="I123" s="3">
        <f>Table2[[#This Row],[Sales]]-Table2[[#This Row],[Sales]]*Table2[[#This Row],[Discount]]</f>
        <v>701.15200000000004</v>
      </c>
      <c r="J123" s="5">
        <f t="shared" ca="1" si="2"/>
        <v>45985.797457870372</v>
      </c>
    </row>
    <row r="124" spans="1:10" x14ac:dyDescent="0.3">
      <c r="A124" s="3" t="s">
        <v>32</v>
      </c>
      <c r="B124" s="3" t="s">
        <v>24</v>
      </c>
      <c r="C124" s="3" t="s">
        <v>43</v>
      </c>
      <c r="D124" s="3" t="s">
        <v>20</v>
      </c>
      <c r="E124" s="3">
        <v>875.41</v>
      </c>
      <c r="F124" s="3">
        <v>13</v>
      </c>
      <c r="G124" s="3">
        <v>0.2</v>
      </c>
      <c r="H124" s="4">
        <v>45552</v>
      </c>
      <c r="I124" s="3">
        <f>Table2[[#This Row],[Sales]]-Table2[[#This Row],[Sales]]*Table2[[#This Row],[Discount]]</f>
        <v>700.32799999999997</v>
      </c>
      <c r="J124" s="5">
        <f t="shared" ca="1" si="2"/>
        <v>45985.797457870372</v>
      </c>
    </row>
    <row r="125" spans="1:10" x14ac:dyDescent="0.3">
      <c r="A125" s="3" t="s">
        <v>67</v>
      </c>
      <c r="B125" s="3" t="s">
        <v>31</v>
      </c>
      <c r="C125" s="3" t="s">
        <v>43</v>
      </c>
      <c r="D125" s="3" t="s">
        <v>41</v>
      </c>
      <c r="E125" s="3">
        <v>873.7</v>
      </c>
      <c r="F125" s="3">
        <v>9</v>
      </c>
      <c r="G125" s="3">
        <v>0.2</v>
      </c>
      <c r="H125" s="4">
        <v>45546</v>
      </c>
      <c r="I125" s="3">
        <f>Table2[[#This Row],[Sales]]-Table2[[#This Row],[Sales]]*Table2[[#This Row],[Discount]]</f>
        <v>698.96</v>
      </c>
      <c r="J125" s="5">
        <f t="shared" ca="1" si="2"/>
        <v>45985.797457870372</v>
      </c>
    </row>
    <row r="126" spans="1:10" x14ac:dyDescent="0.3">
      <c r="A126" s="3" t="s">
        <v>72</v>
      </c>
      <c r="B126" s="3" t="s">
        <v>58</v>
      </c>
      <c r="C126" s="3" t="s">
        <v>29</v>
      </c>
      <c r="D126" s="3" t="s">
        <v>12</v>
      </c>
      <c r="E126" s="3">
        <v>870.23</v>
      </c>
      <c r="F126" s="3">
        <v>5</v>
      </c>
      <c r="G126" s="3">
        <v>0.2</v>
      </c>
      <c r="H126" s="4">
        <v>45660</v>
      </c>
      <c r="I126" s="3">
        <f>Table2[[#This Row],[Sales]]-Table2[[#This Row],[Sales]]*Table2[[#This Row],[Discount]]</f>
        <v>696.18399999999997</v>
      </c>
      <c r="J126" s="5">
        <f t="shared" ca="1" si="2"/>
        <v>45985.797457870372</v>
      </c>
    </row>
    <row r="127" spans="1:10" x14ac:dyDescent="0.3">
      <c r="A127" s="3" t="s">
        <v>66</v>
      </c>
      <c r="B127" s="3" t="s">
        <v>31</v>
      </c>
      <c r="C127" s="3" t="s">
        <v>11</v>
      </c>
      <c r="D127" s="3" t="s">
        <v>12</v>
      </c>
      <c r="E127" s="3">
        <v>864.98</v>
      </c>
      <c r="F127" s="3">
        <v>2</v>
      </c>
      <c r="G127" s="3">
        <v>0.2</v>
      </c>
      <c r="H127" s="4">
        <v>45727</v>
      </c>
      <c r="I127" s="3">
        <f>Table2[[#This Row],[Sales]]-Table2[[#This Row],[Sales]]*Table2[[#This Row],[Discount]]</f>
        <v>691.98400000000004</v>
      </c>
      <c r="J127" s="5">
        <f t="shared" ca="1" si="2"/>
        <v>45985.797457870372</v>
      </c>
    </row>
    <row r="128" spans="1:10" x14ac:dyDescent="0.3">
      <c r="A128" s="3" t="s">
        <v>65</v>
      </c>
      <c r="B128" s="3" t="s">
        <v>33</v>
      </c>
      <c r="C128" s="3" t="s">
        <v>11</v>
      </c>
      <c r="D128" s="3" t="s">
        <v>41</v>
      </c>
      <c r="E128" s="3">
        <v>862.19</v>
      </c>
      <c r="F128" s="3">
        <v>18</v>
      </c>
      <c r="G128" s="3">
        <v>0.2</v>
      </c>
      <c r="H128" s="4">
        <v>45663</v>
      </c>
      <c r="I128" s="3">
        <f>Table2[[#This Row],[Sales]]-Table2[[#This Row],[Sales]]*Table2[[#This Row],[Discount]]</f>
        <v>689.75200000000007</v>
      </c>
      <c r="J128" s="5">
        <f t="shared" ca="1" si="2"/>
        <v>45985.797457870372</v>
      </c>
    </row>
    <row r="129" spans="1:10" x14ac:dyDescent="0.3">
      <c r="A129" s="3" t="s">
        <v>71</v>
      </c>
      <c r="B129" s="3" t="s">
        <v>74</v>
      </c>
      <c r="C129" s="3" t="s">
        <v>19</v>
      </c>
      <c r="D129" s="3" t="s">
        <v>14</v>
      </c>
      <c r="E129" s="3">
        <v>856.7</v>
      </c>
      <c r="F129" s="3">
        <v>2</v>
      </c>
      <c r="G129" s="3">
        <v>0.2</v>
      </c>
      <c r="H129" s="4">
        <v>45449</v>
      </c>
      <c r="I129" s="3">
        <f>Table2[[#This Row],[Sales]]-Table2[[#This Row],[Sales]]*Table2[[#This Row],[Discount]]</f>
        <v>685.36</v>
      </c>
      <c r="J129" s="5">
        <f t="shared" ca="1" si="2"/>
        <v>45985.797457870372</v>
      </c>
    </row>
    <row r="130" spans="1:10" x14ac:dyDescent="0.3">
      <c r="A130" s="3" t="s">
        <v>23</v>
      </c>
      <c r="B130" s="3" t="s">
        <v>36</v>
      </c>
      <c r="C130" s="3" t="s">
        <v>29</v>
      </c>
      <c r="D130" s="3" t="s">
        <v>41</v>
      </c>
      <c r="E130" s="3">
        <v>853.86</v>
      </c>
      <c r="F130" s="3">
        <v>8</v>
      </c>
      <c r="G130" s="3">
        <v>0.2</v>
      </c>
      <c r="H130" s="4">
        <v>45622</v>
      </c>
      <c r="I130" s="3">
        <f>Table2[[#This Row],[Sales]]-Table2[[#This Row],[Sales]]*Table2[[#This Row],[Discount]]</f>
        <v>683.08799999999997</v>
      </c>
      <c r="J130" s="5">
        <f t="shared" ref="J130:J193" ca="1" si="3">NOW()</f>
        <v>45985.797457870372</v>
      </c>
    </row>
    <row r="131" spans="1:10" x14ac:dyDescent="0.3">
      <c r="A131" s="3" t="s">
        <v>39</v>
      </c>
      <c r="B131" s="3" t="s">
        <v>18</v>
      </c>
      <c r="C131" s="3" t="s">
        <v>11</v>
      </c>
      <c r="D131" s="3" t="s">
        <v>41</v>
      </c>
      <c r="E131" s="3">
        <v>853.72</v>
      </c>
      <c r="F131" s="3">
        <v>5</v>
      </c>
      <c r="G131" s="3">
        <v>0.2</v>
      </c>
      <c r="H131" s="4">
        <v>45428</v>
      </c>
      <c r="I131" s="3">
        <f>Table2[[#This Row],[Sales]]-Table2[[#This Row],[Sales]]*Table2[[#This Row],[Discount]]</f>
        <v>682.976</v>
      </c>
      <c r="J131" s="5">
        <f t="shared" ca="1" si="3"/>
        <v>45985.797457870372</v>
      </c>
    </row>
    <row r="132" spans="1:10" x14ac:dyDescent="0.3">
      <c r="A132" s="3" t="s">
        <v>57</v>
      </c>
      <c r="B132" s="3" t="s">
        <v>10</v>
      </c>
      <c r="C132" s="3" t="s">
        <v>13</v>
      </c>
      <c r="D132" s="3" t="s">
        <v>26</v>
      </c>
      <c r="E132" s="3">
        <v>847</v>
      </c>
      <c r="F132" s="3">
        <v>12</v>
      </c>
      <c r="G132" s="3">
        <v>0.2</v>
      </c>
      <c r="H132" s="4">
        <v>45397</v>
      </c>
      <c r="I132" s="3">
        <f>Table2[[#This Row],[Sales]]-Table2[[#This Row],[Sales]]*Table2[[#This Row],[Discount]]</f>
        <v>677.6</v>
      </c>
      <c r="J132" s="5">
        <f t="shared" ca="1" si="3"/>
        <v>45985.797457870372</v>
      </c>
    </row>
    <row r="133" spans="1:10" x14ac:dyDescent="0.3">
      <c r="A133" s="3" t="s">
        <v>48</v>
      </c>
      <c r="B133" s="3" t="s">
        <v>70</v>
      </c>
      <c r="C133" s="3" t="s">
        <v>13</v>
      </c>
      <c r="D133" s="3" t="s">
        <v>12</v>
      </c>
      <c r="E133" s="3">
        <v>845.84</v>
      </c>
      <c r="F133" s="3">
        <v>4</v>
      </c>
      <c r="G133" s="3">
        <v>0.2</v>
      </c>
      <c r="H133" s="4">
        <v>45707</v>
      </c>
      <c r="I133" s="3">
        <f>Table2[[#This Row],[Sales]]-Table2[[#This Row],[Sales]]*Table2[[#This Row],[Discount]]</f>
        <v>676.67200000000003</v>
      </c>
      <c r="J133" s="5">
        <f t="shared" ca="1" si="3"/>
        <v>45985.797457870372</v>
      </c>
    </row>
    <row r="134" spans="1:10" x14ac:dyDescent="0.3">
      <c r="A134" s="3" t="s">
        <v>55</v>
      </c>
      <c r="B134" s="3" t="s">
        <v>31</v>
      </c>
      <c r="C134" s="3" t="s">
        <v>43</v>
      </c>
      <c r="D134" s="3" t="s">
        <v>20</v>
      </c>
      <c r="E134" s="3">
        <v>840.92</v>
      </c>
      <c r="F134" s="3">
        <v>9</v>
      </c>
      <c r="G134" s="3">
        <v>0.2</v>
      </c>
      <c r="H134" s="4">
        <v>45429</v>
      </c>
      <c r="I134" s="3">
        <f>Table2[[#This Row],[Sales]]-Table2[[#This Row],[Sales]]*Table2[[#This Row],[Discount]]</f>
        <v>672.73599999999999</v>
      </c>
      <c r="J134" s="5">
        <f t="shared" ca="1" si="3"/>
        <v>45985.797457870372</v>
      </c>
    </row>
    <row r="135" spans="1:10" x14ac:dyDescent="0.3">
      <c r="A135" s="3" t="s">
        <v>46</v>
      </c>
      <c r="B135" s="3" t="s">
        <v>10</v>
      </c>
      <c r="C135" s="3" t="s">
        <v>19</v>
      </c>
      <c r="D135" s="3" t="s">
        <v>26</v>
      </c>
      <c r="E135" s="3">
        <v>840.85</v>
      </c>
      <c r="F135" s="3">
        <v>19</v>
      </c>
      <c r="G135" s="3">
        <v>0.2</v>
      </c>
      <c r="H135" s="4">
        <v>45448</v>
      </c>
      <c r="I135" s="3">
        <f>Table2[[#This Row],[Sales]]-Table2[[#This Row],[Sales]]*Table2[[#This Row],[Discount]]</f>
        <v>672.68000000000006</v>
      </c>
      <c r="J135" s="5">
        <f t="shared" ca="1" si="3"/>
        <v>45985.797457870372</v>
      </c>
    </row>
    <row r="136" spans="1:10" x14ac:dyDescent="0.3">
      <c r="A136" s="3" t="s">
        <v>30</v>
      </c>
      <c r="B136" s="3" t="s">
        <v>24</v>
      </c>
      <c r="C136" s="3" t="s">
        <v>13</v>
      </c>
      <c r="D136" s="3" t="s">
        <v>20</v>
      </c>
      <c r="E136" s="3">
        <v>833.91</v>
      </c>
      <c r="F136" s="3">
        <v>3</v>
      </c>
      <c r="G136" s="3">
        <v>0.2</v>
      </c>
      <c r="H136" s="4">
        <v>45626</v>
      </c>
      <c r="I136" s="3">
        <f>Table2[[#This Row],[Sales]]-Table2[[#This Row],[Sales]]*Table2[[#This Row],[Discount]]</f>
        <v>667.12799999999993</v>
      </c>
      <c r="J136" s="5">
        <f t="shared" ca="1" si="3"/>
        <v>45985.797457870372</v>
      </c>
    </row>
    <row r="137" spans="1:10" x14ac:dyDescent="0.3">
      <c r="A137" s="3" t="s">
        <v>17</v>
      </c>
      <c r="B137" s="3" t="s">
        <v>45</v>
      </c>
      <c r="C137" s="3" t="s">
        <v>11</v>
      </c>
      <c r="D137" s="3" t="s">
        <v>20</v>
      </c>
      <c r="E137" s="3">
        <v>827.25</v>
      </c>
      <c r="F137" s="3">
        <v>7</v>
      </c>
      <c r="G137" s="3">
        <v>0.2</v>
      </c>
      <c r="H137" s="4">
        <v>45693</v>
      </c>
      <c r="I137" s="3">
        <f>Table2[[#This Row],[Sales]]-Table2[[#This Row],[Sales]]*Table2[[#This Row],[Discount]]</f>
        <v>661.8</v>
      </c>
      <c r="J137" s="5">
        <f t="shared" ca="1" si="3"/>
        <v>45985.797457870372</v>
      </c>
    </row>
    <row r="138" spans="1:10" x14ac:dyDescent="0.3">
      <c r="A138" s="3" t="s">
        <v>35</v>
      </c>
      <c r="B138" s="3" t="s">
        <v>22</v>
      </c>
      <c r="C138" s="3" t="s">
        <v>19</v>
      </c>
      <c r="D138" s="3" t="s">
        <v>12</v>
      </c>
      <c r="E138" s="3">
        <v>826.97</v>
      </c>
      <c r="F138" s="3">
        <v>18</v>
      </c>
      <c r="G138" s="3">
        <v>0.2</v>
      </c>
      <c r="H138" s="4">
        <v>45715</v>
      </c>
      <c r="I138" s="3">
        <f>Table2[[#This Row],[Sales]]-Table2[[#This Row],[Sales]]*Table2[[#This Row],[Discount]]</f>
        <v>661.57600000000002</v>
      </c>
      <c r="J138" s="5">
        <f t="shared" ca="1" si="3"/>
        <v>45985.797457870372</v>
      </c>
    </row>
    <row r="139" spans="1:10" x14ac:dyDescent="0.3">
      <c r="A139" s="3" t="s">
        <v>71</v>
      </c>
      <c r="B139" s="3" t="s">
        <v>38</v>
      </c>
      <c r="C139" s="3" t="s">
        <v>11</v>
      </c>
      <c r="D139" s="3" t="s">
        <v>20</v>
      </c>
      <c r="E139" s="3">
        <v>826.93</v>
      </c>
      <c r="F139" s="3">
        <v>10</v>
      </c>
      <c r="G139" s="3">
        <v>0.2</v>
      </c>
      <c r="H139" s="4">
        <v>45564</v>
      </c>
      <c r="I139" s="3">
        <f>Table2[[#This Row],[Sales]]-Table2[[#This Row],[Sales]]*Table2[[#This Row],[Discount]]</f>
        <v>661.54399999999998</v>
      </c>
      <c r="J139" s="5">
        <f t="shared" ca="1" si="3"/>
        <v>45985.797457870372</v>
      </c>
    </row>
    <row r="140" spans="1:10" x14ac:dyDescent="0.3">
      <c r="A140" s="3" t="s">
        <v>67</v>
      </c>
      <c r="B140" s="3" t="s">
        <v>69</v>
      </c>
      <c r="C140" s="3" t="s">
        <v>11</v>
      </c>
      <c r="D140" s="3" t="s">
        <v>41</v>
      </c>
      <c r="E140" s="3">
        <v>822.28</v>
      </c>
      <c r="F140" s="3">
        <v>7</v>
      </c>
      <c r="G140" s="3">
        <v>0.2</v>
      </c>
      <c r="H140" s="4">
        <v>45406</v>
      </c>
      <c r="I140" s="3">
        <f>Table2[[#This Row],[Sales]]-Table2[[#This Row],[Sales]]*Table2[[#This Row],[Discount]]</f>
        <v>657.82399999999996</v>
      </c>
      <c r="J140" s="5">
        <f t="shared" ca="1" si="3"/>
        <v>45985.797457870372</v>
      </c>
    </row>
    <row r="141" spans="1:10" x14ac:dyDescent="0.3">
      <c r="A141" s="3" t="s">
        <v>9</v>
      </c>
      <c r="B141" s="3" t="s">
        <v>36</v>
      </c>
      <c r="C141" s="3" t="s">
        <v>11</v>
      </c>
      <c r="D141" s="3" t="s">
        <v>41</v>
      </c>
      <c r="E141" s="3">
        <v>820.19</v>
      </c>
      <c r="F141" s="3">
        <v>4</v>
      </c>
      <c r="G141" s="3">
        <v>0.2</v>
      </c>
      <c r="H141" s="4">
        <v>45630</v>
      </c>
      <c r="I141" s="3">
        <f>Table2[[#This Row],[Sales]]-Table2[[#This Row],[Sales]]*Table2[[#This Row],[Discount]]</f>
        <v>656.15200000000004</v>
      </c>
      <c r="J141" s="5">
        <f t="shared" ca="1" si="3"/>
        <v>45985.797457870372</v>
      </c>
    </row>
    <row r="142" spans="1:10" x14ac:dyDescent="0.3">
      <c r="A142" s="3" t="s">
        <v>51</v>
      </c>
      <c r="B142" s="3" t="s">
        <v>24</v>
      </c>
      <c r="C142" s="3" t="s">
        <v>13</v>
      </c>
      <c r="D142" s="3" t="s">
        <v>14</v>
      </c>
      <c r="E142" s="3">
        <v>818.8</v>
      </c>
      <c r="F142" s="3">
        <v>15</v>
      </c>
      <c r="G142" s="3">
        <v>0.2</v>
      </c>
      <c r="H142" s="4">
        <v>45468</v>
      </c>
      <c r="I142" s="3">
        <f>Table2[[#This Row],[Sales]]-Table2[[#This Row],[Sales]]*Table2[[#This Row],[Discount]]</f>
        <v>655.04</v>
      </c>
      <c r="J142" s="5">
        <f t="shared" ca="1" si="3"/>
        <v>45985.797457870372</v>
      </c>
    </row>
    <row r="143" spans="1:10" x14ac:dyDescent="0.3">
      <c r="A143" s="3" t="s">
        <v>17</v>
      </c>
      <c r="B143" s="3" t="s">
        <v>52</v>
      </c>
      <c r="C143" s="3" t="s">
        <v>29</v>
      </c>
      <c r="D143" s="3" t="s">
        <v>41</v>
      </c>
      <c r="E143" s="3">
        <v>806.03</v>
      </c>
      <c r="F143" s="3">
        <v>19</v>
      </c>
      <c r="G143" s="3">
        <v>0.2</v>
      </c>
      <c r="H143" s="4">
        <v>45638</v>
      </c>
      <c r="I143" s="3">
        <f>Table2[[#This Row],[Sales]]-Table2[[#This Row],[Sales]]*Table2[[#This Row],[Discount]]</f>
        <v>644.82399999999996</v>
      </c>
      <c r="J143" s="5">
        <f t="shared" ca="1" si="3"/>
        <v>45985.797457870372</v>
      </c>
    </row>
    <row r="144" spans="1:10" x14ac:dyDescent="0.3">
      <c r="A144" s="3" t="s">
        <v>59</v>
      </c>
      <c r="B144" s="3" t="s">
        <v>54</v>
      </c>
      <c r="C144" s="3" t="s">
        <v>19</v>
      </c>
      <c r="D144" s="3" t="s">
        <v>20</v>
      </c>
      <c r="E144" s="3">
        <v>804.81</v>
      </c>
      <c r="F144" s="3">
        <v>1</v>
      </c>
      <c r="G144" s="3">
        <v>0.2</v>
      </c>
      <c r="H144" s="4">
        <v>45502</v>
      </c>
      <c r="I144" s="3">
        <f>Table2[[#This Row],[Sales]]-Table2[[#This Row],[Sales]]*Table2[[#This Row],[Discount]]</f>
        <v>643.84799999999996</v>
      </c>
      <c r="J144" s="5">
        <f t="shared" ca="1" si="3"/>
        <v>45985.797457870372</v>
      </c>
    </row>
    <row r="145" spans="1:10" x14ac:dyDescent="0.3">
      <c r="A145" s="3" t="s">
        <v>48</v>
      </c>
      <c r="B145" s="3" t="s">
        <v>36</v>
      </c>
      <c r="C145" s="3" t="s">
        <v>29</v>
      </c>
      <c r="D145" s="3" t="s">
        <v>26</v>
      </c>
      <c r="E145" s="3">
        <v>804.45</v>
      </c>
      <c r="F145" s="3">
        <v>5</v>
      </c>
      <c r="G145" s="3">
        <v>0.2</v>
      </c>
      <c r="H145" s="4">
        <v>45509</v>
      </c>
      <c r="I145" s="3">
        <f>Table2[[#This Row],[Sales]]-Table2[[#This Row],[Sales]]*Table2[[#This Row],[Discount]]</f>
        <v>643.56000000000006</v>
      </c>
      <c r="J145" s="5">
        <f t="shared" ca="1" si="3"/>
        <v>45985.797457870372</v>
      </c>
    </row>
    <row r="146" spans="1:10" x14ac:dyDescent="0.3">
      <c r="A146" s="3" t="s">
        <v>44</v>
      </c>
      <c r="B146" s="3" t="s">
        <v>10</v>
      </c>
      <c r="C146" s="3" t="s">
        <v>29</v>
      </c>
      <c r="D146" s="3" t="s">
        <v>14</v>
      </c>
      <c r="E146" s="3">
        <v>801.21</v>
      </c>
      <c r="F146" s="3">
        <v>3</v>
      </c>
      <c r="G146" s="3">
        <v>0.2</v>
      </c>
      <c r="H146" s="4">
        <v>45426</v>
      </c>
      <c r="I146" s="3">
        <f>Table2[[#This Row],[Sales]]-Table2[[#This Row],[Sales]]*Table2[[#This Row],[Discount]]</f>
        <v>640.96800000000007</v>
      </c>
      <c r="J146" s="5">
        <f t="shared" ca="1" si="3"/>
        <v>45985.797457870372</v>
      </c>
    </row>
    <row r="147" spans="1:10" x14ac:dyDescent="0.3">
      <c r="A147" s="3" t="s">
        <v>44</v>
      </c>
      <c r="B147" s="3" t="s">
        <v>42</v>
      </c>
      <c r="C147" s="3" t="s">
        <v>19</v>
      </c>
      <c r="D147" s="3" t="s">
        <v>14</v>
      </c>
      <c r="E147" s="3">
        <v>790.08</v>
      </c>
      <c r="F147" s="3">
        <v>7</v>
      </c>
      <c r="G147" s="3">
        <v>0.2</v>
      </c>
      <c r="H147" s="4">
        <v>45536</v>
      </c>
      <c r="I147" s="3">
        <f>Table2[[#This Row],[Sales]]-Table2[[#This Row],[Sales]]*Table2[[#This Row],[Discount]]</f>
        <v>632.06400000000008</v>
      </c>
      <c r="J147" s="5">
        <f t="shared" ca="1" si="3"/>
        <v>45985.797457870372</v>
      </c>
    </row>
    <row r="148" spans="1:10" x14ac:dyDescent="0.3">
      <c r="A148" s="3" t="s">
        <v>59</v>
      </c>
      <c r="B148" s="3" t="s">
        <v>75</v>
      </c>
      <c r="C148" s="3" t="s">
        <v>29</v>
      </c>
      <c r="D148" s="3" t="s">
        <v>14</v>
      </c>
      <c r="E148" s="3">
        <v>775.45</v>
      </c>
      <c r="F148" s="3">
        <v>6</v>
      </c>
      <c r="G148" s="3">
        <v>0.2</v>
      </c>
      <c r="H148" s="4">
        <v>45457</v>
      </c>
      <c r="I148" s="3">
        <f>Table2[[#This Row],[Sales]]-Table2[[#This Row],[Sales]]*Table2[[#This Row],[Discount]]</f>
        <v>620.36</v>
      </c>
      <c r="J148" s="5">
        <f t="shared" ca="1" si="3"/>
        <v>45985.797457870372</v>
      </c>
    </row>
    <row r="149" spans="1:10" x14ac:dyDescent="0.3">
      <c r="A149" s="3" t="s">
        <v>59</v>
      </c>
      <c r="B149" s="3" t="s">
        <v>49</v>
      </c>
      <c r="C149" s="3" t="s">
        <v>19</v>
      </c>
      <c r="D149" s="3" t="s">
        <v>41</v>
      </c>
      <c r="E149" s="3">
        <v>773.09</v>
      </c>
      <c r="F149" s="3">
        <v>13</v>
      </c>
      <c r="G149" s="3">
        <v>0.2</v>
      </c>
      <c r="H149" s="4">
        <v>45434</v>
      </c>
      <c r="I149" s="3">
        <f>Table2[[#This Row],[Sales]]-Table2[[#This Row],[Sales]]*Table2[[#This Row],[Discount]]</f>
        <v>618.47199999999998</v>
      </c>
      <c r="J149" s="5">
        <f t="shared" ca="1" si="3"/>
        <v>45985.797457870372</v>
      </c>
    </row>
    <row r="150" spans="1:10" x14ac:dyDescent="0.3">
      <c r="A150" s="3" t="s">
        <v>51</v>
      </c>
      <c r="B150" s="3" t="s">
        <v>24</v>
      </c>
      <c r="C150" s="3" t="s">
        <v>29</v>
      </c>
      <c r="D150" s="3" t="s">
        <v>14</v>
      </c>
      <c r="E150" s="3">
        <v>771.02</v>
      </c>
      <c r="F150" s="3">
        <v>1</v>
      </c>
      <c r="G150" s="3">
        <v>0.2</v>
      </c>
      <c r="H150" s="4">
        <v>45585</v>
      </c>
      <c r="I150" s="3">
        <f>Table2[[#This Row],[Sales]]-Table2[[#This Row],[Sales]]*Table2[[#This Row],[Discount]]</f>
        <v>616.81600000000003</v>
      </c>
      <c r="J150" s="5">
        <f t="shared" ca="1" si="3"/>
        <v>45985.797457870372</v>
      </c>
    </row>
    <row r="151" spans="1:10" x14ac:dyDescent="0.3">
      <c r="A151" s="3" t="s">
        <v>30</v>
      </c>
      <c r="B151" s="3" t="s">
        <v>54</v>
      </c>
      <c r="C151" s="3" t="s">
        <v>29</v>
      </c>
      <c r="D151" s="3" t="s">
        <v>12</v>
      </c>
      <c r="E151" s="3">
        <v>762.14</v>
      </c>
      <c r="F151" s="3">
        <v>9</v>
      </c>
      <c r="G151" s="3">
        <v>0.2</v>
      </c>
      <c r="H151" s="4">
        <v>45743</v>
      </c>
      <c r="I151" s="3">
        <f>Table2[[#This Row],[Sales]]-Table2[[#This Row],[Sales]]*Table2[[#This Row],[Discount]]</f>
        <v>609.71199999999999</v>
      </c>
      <c r="J151" s="5">
        <f t="shared" ca="1" si="3"/>
        <v>45985.797457870372</v>
      </c>
    </row>
    <row r="152" spans="1:10" x14ac:dyDescent="0.3">
      <c r="A152" s="3" t="s">
        <v>27</v>
      </c>
      <c r="B152" s="3" t="s">
        <v>69</v>
      </c>
      <c r="C152" s="3" t="s">
        <v>29</v>
      </c>
      <c r="D152" s="3" t="s">
        <v>14</v>
      </c>
      <c r="E152" s="3">
        <v>760.93</v>
      </c>
      <c r="F152" s="3">
        <v>4</v>
      </c>
      <c r="G152" s="3">
        <v>0.2</v>
      </c>
      <c r="H152" s="4">
        <v>45396</v>
      </c>
      <c r="I152" s="3">
        <f>Table2[[#This Row],[Sales]]-Table2[[#This Row],[Sales]]*Table2[[#This Row],[Discount]]</f>
        <v>608.74399999999991</v>
      </c>
      <c r="J152" s="5">
        <f t="shared" ca="1" si="3"/>
        <v>45985.797457870372</v>
      </c>
    </row>
    <row r="153" spans="1:10" x14ac:dyDescent="0.3">
      <c r="A153" s="3" t="s">
        <v>57</v>
      </c>
      <c r="B153" s="3" t="s">
        <v>16</v>
      </c>
      <c r="C153" s="3" t="s">
        <v>13</v>
      </c>
      <c r="D153" s="3" t="s">
        <v>26</v>
      </c>
      <c r="E153" s="3">
        <v>750.71</v>
      </c>
      <c r="F153" s="3">
        <v>10</v>
      </c>
      <c r="G153" s="3">
        <v>0.2</v>
      </c>
      <c r="H153" s="4">
        <v>45743</v>
      </c>
      <c r="I153" s="3">
        <f>Table2[[#This Row],[Sales]]-Table2[[#This Row],[Sales]]*Table2[[#This Row],[Discount]]</f>
        <v>600.56799999999998</v>
      </c>
      <c r="J153" s="5">
        <f t="shared" ca="1" si="3"/>
        <v>45985.797457870372</v>
      </c>
    </row>
    <row r="154" spans="1:10" x14ac:dyDescent="0.3">
      <c r="A154" s="3" t="s">
        <v>44</v>
      </c>
      <c r="B154" s="3" t="s">
        <v>10</v>
      </c>
      <c r="C154" s="3" t="s">
        <v>19</v>
      </c>
      <c r="D154" s="3" t="s">
        <v>20</v>
      </c>
      <c r="E154" s="3">
        <v>745.05</v>
      </c>
      <c r="F154" s="3">
        <v>10</v>
      </c>
      <c r="G154" s="3">
        <v>0.2</v>
      </c>
      <c r="H154" s="4">
        <v>45660</v>
      </c>
      <c r="I154" s="3">
        <f>Table2[[#This Row],[Sales]]-Table2[[#This Row],[Sales]]*Table2[[#This Row],[Discount]]</f>
        <v>596.04</v>
      </c>
      <c r="J154" s="5">
        <f t="shared" ca="1" si="3"/>
        <v>45985.797457870372</v>
      </c>
    </row>
    <row r="155" spans="1:10" x14ac:dyDescent="0.3">
      <c r="A155" s="3" t="s">
        <v>55</v>
      </c>
      <c r="B155" s="3" t="s">
        <v>22</v>
      </c>
      <c r="C155" s="3" t="s">
        <v>11</v>
      </c>
      <c r="D155" s="3" t="s">
        <v>26</v>
      </c>
      <c r="E155" s="3">
        <v>743.17</v>
      </c>
      <c r="F155" s="3">
        <v>9</v>
      </c>
      <c r="G155" s="3">
        <v>0.2</v>
      </c>
      <c r="H155" s="4">
        <v>45416</v>
      </c>
      <c r="I155" s="3">
        <f>Table2[[#This Row],[Sales]]-Table2[[#This Row],[Sales]]*Table2[[#This Row],[Discount]]</f>
        <v>594.53599999999994</v>
      </c>
      <c r="J155" s="5">
        <f t="shared" ca="1" si="3"/>
        <v>45985.797457870372</v>
      </c>
    </row>
    <row r="156" spans="1:10" x14ac:dyDescent="0.3">
      <c r="A156" s="3" t="s">
        <v>15</v>
      </c>
      <c r="B156" s="3" t="s">
        <v>33</v>
      </c>
      <c r="C156" s="3" t="s">
        <v>19</v>
      </c>
      <c r="D156" s="3" t="s">
        <v>12</v>
      </c>
      <c r="E156" s="3">
        <v>741.88</v>
      </c>
      <c r="F156" s="3">
        <v>16</v>
      </c>
      <c r="G156" s="3">
        <v>0.2</v>
      </c>
      <c r="H156" s="4">
        <v>45695</v>
      </c>
      <c r="I156" s="3">
        <f>Table2[[#This Row],[Sales]]-Table2[[#This Row],[Sales]]*Table2[[#This Row],[Discount]]</f>
        <v>593.50400000000002</v>
      </c>
      <c r="J156" s="5">
        <f t="shared" ca="1" si="3"/>
        <v>45985.797457870372</v>
      </c>
    </row>
    <row r="157" spans="1:10" x14ac:dyDescent="0.3">
      <c r="A157" s="3" t="s">
        <v>66</v>
      </c>
      <c r="B157" s="3" t="s">
        <v>38</v>
      </c>
      <c r="C157" s="3" t="s">
        <v>13</v>
      </c>
      <c r="D157" s="3" t="s">
        <v>14</v>
      </c>
      <c r="E157" s="3">
        <v>741.61</v>
      </c>
      <c r="F157" s="3">
        <v>1</v>
      </c>
      <c r="G157" s="3">
        <v>0.2</v>
      </c>
      <c r="H157" s="4">
        <v>45471</v>
      </c>
      <c r="I157" s="3">
        <f>Table2[[#This Row],[Sales]]-Table2[[#This Row],[Sales]]*Table2[[#This Row],[Discount]]</f>
        <v>593.28800000000001</v>
      </c>
      <c r="J157" s="5">
        <f t="shared" ca="1" si="3"/>
        <v>45985.797457870372</v>
      </c>
    </row>
    <row r="158" spans="1:10" x14ac:dyDescent="0.3">
      <c r="A158" s="3" t="s">
        <v>44</v>
      </c>
      <c r="B158" s="3" t="s">
        <v>69</v>
      </c>
      <c r="C158" s="3" t="s">
        <v>29</v>
      </c>
      <c r="D158" s="3" t="s">
        <v>20</v>
      </c>
      <c r="E158" s="3">
        <v>740.8</v>
      </c>
      <c r="F158" s="3">
        <v>3</v>
      </c>
      <c r="G158" s="3">
        <v>0.2</v>
      </c>
      <c r="H158" s="4">
        <v>45749</v>
      </c>
      <c r="I158" s="3">
        <f>Table2[[#This Row],[Sales]]-Table2[[#This Row],[Sales]]*Table2[[#This Row],[Discount]]</f>
        <v>592.64</v>
      </c>
      <c r="J158" s="5">
        <f t="shared" ca="1" si="3"/>
        <v>45985.797457870372</v>
      </c>
    </row>
    <row r="159" spans="1:10" x14ac:dyDescent="0.3">
      <c r="A159" s="3" t="s">
        <v>65</v>
      </c>
      <c r="B159" s="3" t="s">
        <v>34</v>
      </c>
      <c r="C159" s="3" t="s">
        <v>19</v>
      </c>
      <c r="D159" s="3" t="s">
        <v>12</v>
      </c>
      <c r="E159" s="3">
        <v>737.31</v>
      </c>
      <c r="F159" s="3">
        <v>2</v>
      </c>
      <c r="G159" s="3">
        <v>0.2</v>
      </c>
      <c r="H159" s="4">
        <v>45401</v>
      </c>
      <c r="I159" s="3">
        <f>Table2[[#This Row],[Sales]]-Table2[[#This Row],[Sales]]*Table2[[#This Row],[Discount]]</f>
        <v>589.84799999999996</v>
      </c>
      <c r="J159" s="5">
        <f t="shared" ca="1" si="3"/>
        <v>45985.797457870372</v>
      </c>
    </row>
    <row r="160" spans="1:10" x14ac:dyDescent="0.3">
      <c r="A160" s="3" t="s">
        <v>37</v>
      </c>
      <c r="B160" s="3" t="s">
        <v>62</v>
      </c>
      <c r="C160" s="3" t="s">
        <v>19</v>
      </c>
      <c r="D160" s="3" t="s">
        <v>12</v>
      </c>
      <c r="E160" s="3">
        <v>728.71</v>
      </c>
      <c r="F160" s="3">
        <v>14</v>
      </c>
      <c r="G160" s="3">
        <v>0.2</v>
      </c>
      <c r="H160" s="4">
        <v>45581</v>
      </c>
      <c r="I160" s="3">
        <f>Table2[[#This Row],[Sales]]-Table2[[#This Row],[Sales]]*Table2[[#This Row],[Discount]]</f>
        <v>582.96800000000007</v>
      </c>
      <c r="J160" s="5">
        <f t="shared" ca="1" si="3"/>
        <v>45985.797457870372</v>
      </c>
    </row>
    <row r="161" spans="1:10" x14ac:dyDescent="0.3">
      <c r="A161" s="3" t="s">
        <v>60</v>
      </c>
      <c r="B161" s="3" t="s">
        <v>69</v>
      </c>
      <c r="C161" s="3" t="s">
        <v>29</v>
      </c>
      <c r="D161" s="3" t="s">
        <v>41</v>
      </c>
      <c r="E161" s="3">
        <v>727.73</v>
      </c>
      <c r="F161" s="3">
        <v>1</v>
      </c>
      <c r="G161" s="3">
        <v>0.2</v>
      </c>
      <c r="H161" s="4">
        <v>45552</v>
      </c>
      <c r="I161" s="3">
        <f>Table2[[#This Row],[Sales]]-Table2[[#This Row],[Sales]]*Table2[[#This Row],[Discount]]</f>
        <v>582.18399999999997</v>
      </c>
      <c r="J161" s="5">
        <f t="shared" ca="1" si="3"/>
        <v>45985.797457870372</v>
      </c>
    </row>
    <row r="162" spans="1:10" x14ac:dyDescent="0.3">
      <c r="A162" s="3" t="s">
        <v>55</v>
      </c>
      <c r="B162" s="3" t="s">
        <v>58</v>
      </c>
      <c r="C162" s="3" t="s">
        <v>29</v>
      </c>
      <c r="D162" s="3" t="s">
        <v>14</v>
      </c>
      <c r="E162" s="3">
        <v>718.04</v>
      </c>
      <c r="F162" s="3">
        <v>14</v>
      </c>
      <c r="G162" s="3">
        <v>0.2</v>
      </c>
      <c r="H162" s="4">
        <v>45613</v>
      </c>
      <c r="I162" s="3">
        <f>Table2[[#This Row],[Sales]]-Table2[[#This Row],[Sales]]*Table2[[#This Row],[Discount]]</f>
        <v>574.43200000000002</v>
      </c>
      <c r="J162" s="5">
        <f t="shared" ca="1" si="3"/>
        <v>45985.797457870372</v>
      </c>
    </row>
    <row r="163" spans="1:10" x14ac:dyDescent="0.3">
      <c r="A163" s="3" t="s">
        <v>71</v>
      </c>
      <c r="B163" s="3" t="s">
        <v>58</v>
      </c>
      <c r="C163" s="3" t="s">
        <v>43</v>
      </c>
      <c r="D163" s="3" t="s">
        <v>26</v>
      </c>
      <c r="E163" s="3">
        <v>713.34</v>
      </c>
      <c r="F163" s="3">
        <v>17</v>
      </c>
      <c r="G163" s="3">
        <v>0.2</v>
      </c>
      <c r="H163" s="4">
        <v>45396</v>
      </c>
      <c r="I163" s="3">
        <f>Table2[[#This Row],[Sales]]-Table2[[#This Row],[Sales]]*Table2[[#This Row],[Discount]]</f>
        <v>570.67200000000003</v>
      </c>
      <c r="J163" s="5">
        <f t="shared" ca="1" si="3"/>
        <v>45985.797457870372</v>
      </c>
    </row>
    <row r="164" spans="1:10" x14ac:dyDescent="0.3">
      <c r="A164" s="3" t="s">
        <v>44</v>
      </c>
      <c r="B164" s="3" t="s">
        <v>38</v>
      </c>
      <c r="C164" s="3" t="s">
        <v>13</v>
      </c>
      <c r="D164" s="3" t="s">
        <v>26</v>
      </c>
      <c r="E164" s="3">
        <v>710.52</v>
      </c>
      <c r="F164" s="3">
        <v>8</v>
      </c>
      <c r="G164" s="3">
        <v>0.2</v>
      </c>
      <c r="H164" s="4">
        <v>45721</v>
      </c>
      <c r="I164" s="3">
        <f>Table2[[#This Row],[Sales]]-Table2[[#This Row],[Sales]]*Table2[[#This Row],[Discount]]</f>
        <v>568.41599999999994</v>
      </c>
      <c r="J164" s="5">
        <f t="shared" ca="1" si="3"/>
        <v>45985.797457870372</v>
      </c>
    </row>
    <row r="165" spans="1:10" x14ac:dyDescent="0.3">
      <c r="A165" s="3" t="s">
        <v>15</v>
      </c>
      <c r="B165" s="3" t="s">
        <v>10</v>
      </c>
      <c r="C165" s="3" t="s">
        <v>13</v>
      </c>
      <c r="D165" s="3" t="s">
        <v>14</v>
      </c>
      <c r="E165" s="3">
        <v>706.73</v>
      </c>
      <c r="F165" s="3">
        <v>1</v>
      </c>
      <c r="G165" s="3">
        <v>0.2</v>
      </c>
      <c r="H165" s="4">
        <v>45613</v>
      </c>
      <c r="I165" s="3">
        <f>Table2[[#This Row],[Sales]]-Table2[[#This Row],[Sales]]*Table2[[#This Row],[Discount]]</f>
        <v>565.38400000000001</v>
      </c>
      <c r="J165" s="5">
        <f t="shared" ca="1" si="3"/>
        <v>45985.797457870372</v>
      </c>
    </row>
    <row r="166" spans="1:10" x14ac:dyDescent="0.3">
      <c r="A166" s="3" t="s">
        <v>67</v>
      </c>
      <c r="B166" s="3" t="s">
        <v>22</v>
      </c>
      <c r="C166" s="3" t="s">
        <v>19</v>
      </c>
      <c r="D166" s="3" t="s">
        <v>14</v>
      </c>
      <c r="E166" s="3">
        <v>706.37</v>
      </c>
      <c r="F166" s="3">
        <v>6</v>
      </c>
      <c r="G166" s="3">
        <v>0.2</v>
      </c>
      <c r="H166" s="4">
        <v>45416</v>
      </c>
      <c r="I166" s="3">
        <f>Table2[[#This Row],[Sales]]-Table2[[#This Row],[Sales]]*Table2[[#This Row],[Discount]]</f>
        <v>565.096</v>
      </c>
      <c r="J166" s="5">
        <f t="shared" ca="1" si="3"/>
        <v>45985.797457870372</v>
      </c>
    </row>
    <row r="167" spans="1:10" x14ac:dyDescent="0.3">
      <c r="A167" s="3" t="s">
        <v>53</v>
      </c>
      <c r="B167" s="3" t="s">
        <v>28</v>
      </c>
      <c r="C167" s="3" t="s">
        <v>29</v>
      </c>
      <c r="D167" s="3" t="s">
        <v>26</v>
      </c>
      <c r="E167" s="3">
        <v>704.28</v>
      </c>
      <c r="F167" s="3">
        <v>15</v>
      </c>
      <c r="G167" s="3">
        <v>0.2</v>
      </c>
      <c r="H167" s="4">
        <v>45712</v>
      </c>
      <c r="I167" s="3">
        <f>Table2[[#This Row],[Sales]]-Table2[[#This Row],[Sales]]*Table2[[#This Row],[Discount]]</f>
        <v>563.42399999999998</v>
      </c>
      <c r="J167" s="5">
        <f t="shared" ca="1" si="3"/>
        <v>45985.797457870372</v>
      </c>
    </row>
    <row r="168" spans="1:10" x14ac:dyDescent="0.3">
      <c r="A168" s="3" t="s">
        <v>32</v>
      </c>
      <c r="B168" s="3" t="s">
        <v>10</v>
      </c>
      <c r="C168" s="3" t="s">
        <v>11</v>
      </c>
      <c r="D168" s="3" t="s">
        <v>12</v>
      </c>
      <c r="E168" s="3">
        <v>697.57</v>
      </c>
      <c r="F168" s="3">
        <v>17</v>
      </c>
      <c r="G168" s="3">
        <v>0.2</v>
      </c>
      <c r="H168" s="4">
        <v>45584</v>
      </c>
      <c r="I168" s="3">
        <f>Table2[[#This Row],[Sales]]-Table2[[#This Row],[Sales]]*Table2[[#This Row],[Discount]]</f>
        <v>558.05600000000004</v>
      </c>
      <c r="J168" s="5">
        <f t="shared" ca="1" si="3"/>
        <v>45985.797457870372</v>
      </c>
    </row>
    <row r="169" spans="1:10" x14ac:dyDescent="0.3">
      <c r="A169" s="3" t="s">
        <v>51</v>
      </c>
      <c r="B169" s="3" t="s">
        <v>16</v>
      </c>
      <c r="C169" s="3" t="s">
        <v>29</v>
      </c>
      <c r="D169" s="3" t="s">
        <v>12</v>
      </c>
      <c r="E169" s="3">
        <v>689.43</v>
      </c>
      <c r="F169" s="3">
        <v>9</v>
      </c>
      <c r="G169" s="3">
        <v>0.2</v>
      </c>
      <c r="H169" s="4">
        <v>45736</v>
      </c>
      <c r="I169" s="3">
        <f>Table2[[#This Row],[Sales]]-Table2[[#This Row],[Sales]]*Table2[[#This Row],[Discount]]</f>
        <v>551.54399999999998</v>
      </c>
      <c r="J169" s="5">
        <f t="shared" ca="1" si="3"/>
        <v>45985.797457870372</v>
      </c>
    </row>
    <row r="170" spans="1:10" x14ac:dyDescent="0.3">
      <c r="A170" s="3" t="s">
        <v>48</v>
      </c>
      <c r="B170" s="3" t="s">
        <v>31</v>
      </c>
      <c r="C170" s="3" t="s">
        <v>11</v>
      </c>
      <c r="D170" s="3" t="s">
        <v>14</v>
      </c>
      <c r="E170" s="3">
        <v>688.83</v>
      </c>
      <c r="F170" s="3">
        <v>15</v>
      </c>
      <c r="G170" s="3">
        <v>0.2</v>
      </c>
      <c r="H170" s="4">
        <v>45595</v>
      </c>
      <c r="I170" s="3">
        <f>Table2[[#This Row],[Sales]]-Table2[[#This Row],[Sales]]*Table2[[#This Row],[Discount]]</f>
        <v>551.06400000000008</v>
      </c>
      <c r="J170" s="5">
        <f t="shared" ca="1" si="3"/>
        <v>45985.797457870372</v>
      </c>
    </row>
    <row r="171" spans="1:10" x14ac:dyDescent="0.3">
      <c r="A171" s="3" t="s">
        <v>67</v>
      </c>
      <c r="B171" s="3" t="s">
        <v>49</v>
      </c>
      <c r="C171" s="3" t="s">
        <v>29</v>
      </c>
      <c r="D171" s="3" t="s">
        <v>12</v>
      </c>
      <c r="E171" s="3">
        <v>682.24</v>
      </c>
      <c r="F171" s="3">
        <v>1</v>
      </c>
      <c r="G171" s="3">
        <v>0.2</v>
      </c>
      <c r="H171" s="4">
        <v>45738</v>
      </c>
      <c r="I171" s="3">
        <f>Table2[[#This Row],[Sales]]-Table2[[#This Row],[Sales]]*Table2[[#This Row],[Discount]]</f>
        <v>545.79200000000003</v>
      </c>
      <c r="J171" s="5">
        <f t="shared" ca="1" si="3"/>
        <v>45985.797457870372</v>
      </c>
    </row>
    <row r="172" spans="1:10" x14ac:dyDescent="0.3">
      <c r="A172" s="3" t="s">
        <v>30</v>
      </c>
      <c r="B172" s="3" t="s">
        <v>31</v>
      </c>
      <c r="C172" s="3" t="s">
        <v>13</v>
      </c>
      <c r="D172" s="3" t="s">
        <v>26</v>
      </c>
      <c r="E172" s="3">
        <v>679.71</v>
      </c>
      <c r="F172" s="3">
        <v>19</v>
      </c>
      <c r="G172" s="3">
        <v>0.2</v>
      </c>
      <c r="H172" s="4">
        <v>45534</v>
      </c>
      <c r="I172" s="3">
        <f>Table2[[#This Row],[Sales]]-Table2[[#This Row],[Sales]]*Table2[[#This Row],[Discount]]</f>
        <v>543.76800000000003</v>
      </c>
      <c r="J172" s="5">
        <f t="shared" ca="1" si="3"/>
        <v>45985.797457870372</v>
      </c>
    </row>
    <row r="173" spans="1:10" x14ac:dyDescent="0.3">
      <c r="A173" s="3" t="s">
        <v>57</v>
      </c>
      <c r="B173" s="3" t="s">
        <v>75</v>
      </c>
      <c r="C173" s="3" t="s">
        <v>13</v>
      </c>
      <c r="D173" s="3" t="s">
        <v>41</v>
      </c>
      <c r="E173" s="3">
        <v>675.54</v>
      </c>
      <c r="F173" s="3">
        <v>17</v>
      </c>
      <c r="G173" s="3">
        <v>0.2</v>
      </c>
      <c r="H173" s="4">
        <v>45420</v>
      </c>
      <c r="I173" s="3">
        <f>Table2[[#This Row],[Sales]]-Table2[[#This Row],[Sales]]*Table2[[#This Row],[Discount]]</f>
        <v>540.43200000000002</v>
      </c>
      <c r="J173" s="5">
        <f t="shared" ca="1" si="3"/>
        <v>45985.797457870372</v>
      </c>
    </row>
    <row r="174" spans="1:10" x14ac:dyDescent="0.3">
      <c r="A174" s="3" t="s">
        <v>64</v>
      </c>
      <c r="B174" s="3" t="s">
        <v>73</v>
      </c>
      <c r="C174" s="3" t="s">
        <v>19</v>
      </c>
      <c r="D174" s="3" t="s">
        <v>12</v>
      </c>
      <c r="E174" s="3">
        <v>662.61</v>
      </c>
      <c r="F174" s="3">
        <v>11</v>
      </c>
      <c r="G174" s="3">
        <v>0.2</v>
      </c>
      <c r="H174" s="4">
        <v>45658</v>
      </c>
      <c r="I174" s="3">
        <f>Table2[[#This Row],[Sales]]-Table2[[#This Row],[Sales]]*Table2[[#This Row],[Discount]]</f>
        <v>530.08799999999997</v>
      </c>
      <c r="J174" s="5">
        <f t="shared" ca="1" si="3"/>
        <v>45985.797457870372</v>
      </c>
    </row>
    <row r="175" spans="1:10" x14ac:dyDescent="0.3">
      <c r="A175" s="3" t="s">
        <v>53</v>
      </c>
      <c r="B175" s="3" t="s">
        <v>73</v>
      </c>
      <c r="C175" s="3" t="s">
        <v>13</v>
      </c>
      <c r="D175" s="3" t="s">
        <v>12</v>
      </c>
      <c r="E175" s="3">
        <v>661.09</v>
      </c>
      <c r="F175" s="3">
        <v>1</v>
      </c>
      <c r="G175" s="3">
        <v>0.2</v>
      </c>
      <c r="H175" s="4">
        <v>45593</v>
      </c>
      <c r="I175" s="3">
        <f>Table2[[#This Row],[Sales]]-Table2[[#This Row],[Sales]]*Table2[[#This Row],[Discount]]</f>
        <v>528.87200000000007</v>
      </c>
      <c r="J175" s="5">
        <f t="shared" ca="1" si="3"/>
        <v>45985.797457870372</v>
      </c>
    </row>
    <row r="176" spans="1:10" x14ac:dyDescent="0.3">
      <c r="A176" s="3" t="s">
        <v>61</v>
      </c>
      <c r="B176" s="3" t="s">
        <v>22</v>
      </c>
      <c r="C176" s="3" t="s">
        <v>19</v>
      </c>
      <c r="D176" s="3" t="s">
        <v>14</v>
      </c>
      <c r="E176" s="3">
        <v>645.02</v>
      </c>
      <c r="F176" s="3">
        <v>4</v>
      </c>
      <c r="G176" s="3">
        <v>0.2</v>
      </c>
      <c r="H176" s="4">
        <v>45414</v>
      </c>
      <c r="I176" s="3">
        <f>Table2[[#This Row],[Sales]]-Table2[[#This Row],[Sales]]*Table2[[#This Row],[Discount]]</f>
        <v>516.01599999999996</v>
      </c>
      <c r="J176" s="5">
        <f t="shared" ca="1" si="3"/>
        <v>45985.797457870372</v>
      </c>
    </row>
    <row r="177" spans="1:10" x14ac:dyDescent="0.3">
      <c r="A177" s="3" t="s">
        <v>35</v>
      </c>
      <c r="B177" s="3" t="s">
        <v>45</v>
      </c>
      <c r="C177" s="3" t="s">
        <v>13</v>
      </c>
      <c r="D177" s="3" t="s">
        <v>26</v>
      </c>
      <c r="E177" s="3">
        <v>640.64</v>
      </c>
      <c r="F177" s="3">
        <v>11</v>
      </c>
      <c r="G177" s="3">
        <v>0.2</v>
      </c>
      <c r="H177" s="4">
        <v>45678</v>
      </c>
      <c r="I177" s="3">
        <f>Table2[[#This Row],[Sales]]-Table2[[#This Row],[Sales]]*Table2[[#This Row],[Discount]]</f>
        <v>512.51199999999994</v>
      </c>
      <c r="J177" s="5">
        <f t="shared" ca="1" si="3"/>
        <v>45985.797457870372</v>
      </c>
    </row>
    <row r="178" spans="1:10" x14ac:dyDescent="0.3">
      <c r="A178" s="3" t="s">
        <v>39</v>
      </c>
      <c r="B178" s="3" t="s">
        <v>70</v>
      </c>
      <c r="C178" s="3" t="s">
        <v>11</v>
      </c>
      <c r="D178" s="3" t="s">
        <v>26</v>
      </c>
      <c r="E178" s="3">
        <v>636.70000000000005</v>
      </c>
      <c r="F178" s="3">
        <v>4</v>
      </c>
      <c r="G178" s="3">
        <v>0.2</v>
      </c>
      <c r="H178" s="4">
        <v>45411</v>
      </c>
      <c r="I178" s="3">
        <f>Table2[[#This Row],[Sales]]-Table2[[#This Row],[Sales]]*Table2[[#This Row],[Discount]]</f>
        <v>509.36</v>
      </c>
      <c r="J178" s="5">
        <f t="shared" ca="1" si="3"/>
        <v>45985.797457870372</v>
      </c>
    </row>
    <row r="179" spans="1:10" x14ac:dyDescent="0.3">
      <c r="A179" s="3" t="s">
        <v>57</v>
      </c>
      <c r="B179" s="3" t="s">
        <v>31</v>
      </c>
      <c r="C179" s="3" t="s">
        <v>19</v>
      </c>
      <c r="D179" s="3" t="s">
        <v>14</v>
      </c>
      <c r="E179" s="3">
        <v>608.66</v>
      </c>
      <c r="F179" s="3">
        <v>1</v>
      </c>
      <c r="G179" s="3">
        <v>0.2</v>
      </c>
      <c r="H179" s="4">
        <v>45503</v>
      </c>
      <c r="I179" s="3">
        <f>Table2[[#This Row],[Sales]]-Table2[[#This Row],[Sales]]*Table2[[#This Row],[Discount]]</f>
        <v>486.928</v>
      </c>
      <c r="J179" s="5">
        <f t="shared" ca="1" si="3"/>
        <v>45985.797457870372</v>
      </c>
    </row>
    <row r="180" spans="1:10" x14ac:dyDescent="0.3">
      <c r="A180" s="3" t="s">
        <v>32</v>
      </c>
      <c r="B180" s="3" t="s">
        <v>24</v>
      </c>
      <c r="C180" s="3" t="s">
        <v>13</v>
      </c>
      <c r="D180" s="3" t="s">
        <v>26</v>
      </c>
      <c r="E180" s="3">
        <v>585.97</v>
      </c>
      <c r="F180" s="3">
        <v>17</v>
      </c>
      <c r="G180" s="3">
        <v>0.2</v>
      </c>
      <c r="H180" s="4">
        <v>45565</v>
      </c>
      <c r="I180" s="3">
        <f>Table2[[#This Row],[Sales]]-Table2[[#This Row],[Sales]]*Table2[[#This Row],[Discount]]</f>
        <v>468.77600000000001</v>
      </c>
      <c r="J180" s="5">
        <f t="shared" ca="1" si="3"/>
        <v>45985.797457870372</v>
      </c>
    </row>
    <row r="181" spans="1:10" x14ac:dyDescent="0.3">
      <c r="A181" s="3" t="s">
        <v>57</v>
      </c>
      <c r="B181" s="3" t="s">
        <v>28</v>
      </c>
      <c r="C181" s="3" t="s">
        <v>11</v>
      </c>
      <c r="D181" s="3" t="s">
        <v>12</v>
      </c>
      <c r="E181" s="3">
        <v>585.16</v>
      </c>
      <c r="F181" s="3">
        <v>17</v>
      </c>
      <c r="G181" s="3">
        <v>0.2</v>
      </c>
      <c r="H181" s="4">
        <v>45684</v>
      </c>
      <c r="I181" s="3">
        <f>Table2[[#This Row],[Sales]]-Table2[[#This Row],[Sales]]*Table2[[#This Row],[Discount]]</f>
        <v>468.12799999999999</v>
      </c>
      <c r="J181" s="5">
        <f t="shared" ca="1" si="3"/>
        <v>45985.797457870372</v>
      </c>
    </row>
    <row r="182" spans="1:10" x14ac:dyDescent="0.3">
      <c r="A182" s="3" t="s">
        <v>72</v>
      </c>
      <c r="B182" s="3" t="s">
        <v>52</v>
      </c>
      <c r="C182" s="3" t="s">
        <v>43</v>
      </c>
      <c r="D182" s="3" t="s">
        <v>26</v>
      </c>
      <c r="E182" s="3">
        <v>580.42999999999995</v>
      </c>
      <c r="F182" s="3">
        <v>19</v>
      </c>
      <c r="G182" s="3">
        <v>0.2</v>
      </c>
      <c r="H182" s="4">
        <v>45435</v>
      </c>
      <c r="I182" s="3">
        <f>Table2[[#This Row],[Sales]]-Table2[[#This Row],[Sales]]*Table2[[#This Row],[Discount]]</f>
        <v>464.34399999999994</v>
      </c>
      <c r="J182" s="5">
        <f t="shared" ca="1" si="3"/>
        <v>45985.797457870372</v>
      </c>
    </row>
    <row r="183" spans="1:10" x14ac:dyDescent="0.3">
      <c r="A183" s="3" t="s">
        <v>21</v>
      </c>
      <c r="B183" s="3" t="s">
        <v>22</v>
      </c>
      <c r="C183" s="3" t="s">
        <v>29</v>
      </c>
      <c r="D183" s="3" t="s">
        <v>20</v>
      </c>
      <c r="E183" s="3">
        <v>573.32000000000005</v>
      </c>
      <c r="F183" s="3">
        <v>19</v>
      </c>
      <c r="G183" s="3">
        <v>0.2</v>
      </c>
      <c r="H183" s="4">
        <v>45703</v>
      </c>
      <c r="I183" s="3">
        <f>Table2[[#This Row],[Sales]]-Table2[[#This Row],[Sales]]*Table2[[#This Row],[Discount]]</f>
        <v>458.65600000000006</v>
      </c>
      <c r="J183" s="5">
        <f t="shared" ca="1" si="3"/>
        <v>45985.797457870372</v>
      </c>
    </row>
    <row r="184" spans="1:10" x14ac:dyDescent="0.3">
      <c r="A184" s="3" t="s">
        <v>67</v>
      </c>
      <c r="B184" s="3" t="s">
        <v>63</v>
      </c>
      <c r="C184" s="3" t="s">
        <v>43</v>
      </c>
      <c r="D184" s="3" t="s">
        <v>20</v>
      </c>
      <c r="E184" s="3">
        <v>556.41999999999996</v>
      </c>
      <c r="F184" s="3">
        <v>11</v>
      </c>
      <c r="G184" s="3">
        <v>0.2</v>
      </c>
      <c r="H184" s="4">
        <v>45447</v>
      </c>
      <c r="I184" s="3">
        <f>Table2[[#This Row],[Sales]]-Table2[[#This Row],[Sales]]*Table2[[#This Row],[Discount]]</f>
        <v>445.13599999999997</v>
      </c>
      <c r="J184" s="5">
        <f t="shared" ca="1" si="3"/>
        <v>45985.797457870372</v>
      </c>
    </row>
    <row r="185" spans="1:10" x14ac:dyDescent="0.3">
      <c r="A185" s="3" t="s">
        <v>9</v>
      </c>
      <c r="B185" s="3" t="s">
        <v>28</v>
      </c>
      <c r="C185" s="3" t="s">
        <v>11</v>
      </c>
      <c r="D185" s="3" t="s">
        <v>20</v>
      </c>
      <c r="E185" s="3">
        <v>545.44000000000005</v>
      </c>
      <c r="F185" s="3">
        <v>17</v>
      </c>
      <c r="G185" s="3">
        <v>0.2</v>
      </c>
      <c r="H185" s="4">
        <v>45752</v>
      </c>
      <c r="I185" s="3">
        <f>Table2[[#This Row],[Sales]]-Table2[[#This Row],[Sales]]*Table2[[#This Row],[Discount]]</f>
        <v>436.35200000000003</v>
      </c>
      <c r="J185" s="5">
        <f t="shared" ca="1" si="3"/>
        <v>45985.797457870372</v>
      </c>
    </row>
    <row r="186" spans="1:10" x14ac:dyDescent="0.3">
      <c r="A186" s="3" t="s">
        <v>15</v>
      </c>
      <c r="B186" s="3" t="s">
        <v>31</v>
      </c>
      <c r="C186" s="3" t="s">
        <v>43</v>
      </c>
      <c r="D186" s="3" t="s">
        <v>14</v>
      </c>
      <c r="E186" s="3">
        <v>539.77</v>
      </c>
      <c r="F186" s="3">
        <v>10</v>
      </c>
      <c r="G186" s="3">
        <v>0.2</v>
      </c>
      <c r="H186" s="4">
        <v>45509</v>
      </c>
      <c r="I186" s="3">
        <f>Table2[[#This Row],[Sales]]-Table2[[#This Row],[Sales]]*Table2[[#This Row],[Discount]]</f>
        <v>431.81599999999997</v>
      </c>
      <c r="J186" s="5">
        <f t="shared" ca="1" si="3"/>
        <v>45985.797457870372</v>
      </c>
    </row>
    <row r="187" spans="1:10" x14ac:dyDescent="0.3">
      <c r="A187" s="3" t="s">
        <v>66</v>
      </c>
      <c r="B187" s="3" t="s">
        <v>68</v>
      </c>
      <c r="C187" s="3" t="s">
        <v>13</v>
      </c>
      <c r="D187" s="3" t="s">
        <v>41</v>
      </c>
      <c r="E187" s="3">
        <v>521.66999999999996</v>
      </c>
      <c r="F187" s="3">
        <v>15</v>
      </c>
      <c r="G187" s="3">
        <v>0.2</v>
      </c>
      <c r="H187" s="4">
        <v>45409</v>
      </c>
      <c r="I187" s="3">
        <f>Table2[[#This Row],[Sales]]-Table2[[#This Row],[Sales]]*Table2[[#This Row],[Discount]]</f>
        <v>417.33599999999996</v>
      </c>
      <c r="J187" s="5">
        <f t="shared" ca="1" si="3"/>
        <v>45985.797457870372</v>
      </c>
    </row>
    <row r="188" spans="1:10" x14ac:dyDescent="0.3">
      <c r="A188" s="3" t="s">
        <v>21</v>
      </c>
      <c r="B188" s="3" t="s">
        <v>70</v>
      </c>
      <c r="C188" s="3" t="s">
        <v>13</v>
      </c>
      <c r="D188" s="3" t="s">
        <v>41</v>
      </c>
      <c r="E188" s="3">
        <v>518.07000000000005</v>
      </c>
      <c r="F188" s="3">
        <v>7</v>
      </c>
      <c r="G188" s="3">
        <v>0.2</v>
      </c>
      <c r="H188" s="4">
        <v>45522</v>
      </c>
      <c r="I188" s="3">
        <f>Table2[[#This Row],[Sales]]-Table2[[#This Row],[Sales]]*Table2[[#This Row],[Discount]]</f>
        <v>414.45600000000002</v>
      </c>
      <c r="J188" s="5">
        <f t="shared" ca="1" si="3"/>
        <v>45985.797457870372</v>
      </c>
    </row>
    <row r="189" spans="1:10" x14ac:dyDescent="0.3">
      <c r="A189" s="3" t="s">
        <v>9</v>
      </c>
      <c r="B189" s="3" t="s">
        <v>24</v>
      </c>
      <c r="C189" s="3" t="s">
        <v>19</v>
      </c>
      <c r="D189" s="3" t="s">
        <v>14</v>
      </c>
      <c r="E189" s="3">
        <v>511.74</v>
      </c>
      <c r="F189" s="3">
        <v>8</v>
      </c>
      <c r="G189" s="3">
        <v>0.2</v>
      </c>
      <c r="H189" s="4">
        <v>45631</v>
      </c>
      <c r="I189" s="3">
        <f>Table2[[#This Row],[Sales]]-Table2[[#This Row],[Sales]]*Table2[[#This Row],[Discount]]</f>
        <v>409.392</v>
      </c>
      <c r="J189" s="5">
        <f t="shared" ca="1" si="3"/>
        <v>45985.797457870372</v>
      </c>
    </row>
    <row r="190" spans="1:10" x14ac:dyDescent="0.3">
      <c r="A190" s="3" t="s">
        <v>51</v>
      </c>
      <c r="B190" s="3" t="s">
        <v>56</v>
      </c>
      <c r="C190" s="3" t="s">
        <v>19</v>
      </c>
      <c r="D190" s="3" t="s">
        <v>26</v>
      </c>
      <c r="E190" s="3">
        <v>501.54</v>
      </c>
      <c r="F190" s="3">
        <v>11</v>
      </c>
      <c r="G190" s="3">
        <v>0.2</v>
      </c>
      <c r="H190" s="4">
        <v>45401</v>
      </c>
      <c r="I190" s="3">
        <f>Table2[[#This Row],[Sales]]-Table2[[#This Row],[Sales]]*Table2[[#This Row],[Discount]]</f>
        <v>401.23200000000003</v>
      </c>
      <c r="J190" s="5">
        <f t="shared" ca="1" si="3"/>
        <v>45985.797457870372</v>
      </c>
    </row>
    <row r="191" spans="1:10" x14ac:dyDescent="0.3">
      <c r="A191" s="3" t="s">
        <v>44</v>
      </c>
      <c r="B191" s="3" t="s">
        <v>49</v>
      </c>
      <c r="C191" s="3" t="s">
        <v>13</v>
      </c>
      <c r="D191" s="3" t="s">
        <v>26</v>
      </c>
      <c r="E191" s="3">
        <v>499.18</v>
      </c>
      <c r="F191" s="3">
        <v>15</v>
      </c>
      <c r="G191" s="3">
        <v>0.2</v>
      </c>
      <c r="H191" s="4">
        <v>45724</v>
      </c>
      <c r="I191" s="3">
        <f>Table2[[#This Row],[Sales]]-Table2[[#This Row],[Sales]]*Table2[[#This Row],[Discount]]</f>
        <v>399.34399999999999</v>
      </c>
      <c r="J191" s="5">
        <f t="shared" ca="1" si="3"/>
        <v>45985.797457870372</v>
      </c>
    </row>
    <row r="192" spans="1:10" x14ac:dyDescent="0.3">
      <c r="A192" s="3" t="s">
        <v>65</v>
      </c>
      <c r="B192" s="3" t="s">
        <v>31</v>
      </c>
      <c r="C192" s="3" t="s">
        <v>19</v>
      </c>
      <c r="D192" s="3" t="s">
        <v>20</v>
      </c>
      <c r="E192" s="3">
        <v>488.99</v>
      </c>
      <c r="F192" s="3">
        <v>9</v>
      </c>
      <c r="G192" s="3">
        <v>0.2</v>
      </c>
      <c r="H192" s="4">
        <v>45479</v>
      </c>
      <c r="I192" s="3">
        <f>Table2[[#This Row],[Sales]]-Table2[[#This Row],[Sales]]*Table2[[#This Row],[Discount]]</f>
        <v>391.19200000000001</v>
      </c>
      <c r="J192" s="5">
        <f t="shared" ca="1" si="3"/>
        <v>45985.797457870372</v>
      </c>
    </row>
    <row r="193" spans="1:10" x14ac:dyDescent="0.3">
      <c r="A193" s="3" t="s">
        <v>48</v>
      </c>
      <c r="B193" s="3" t="s">
        <v>40</v>
      </c>
      <c r="C193" s="3" t="s">
        <v>11</v>
      </c>
      <c r="D193" s="3" t="s">
        <v>26</v>
      </c>
      <c r="E193" s="3">
        <v>472.38</v>
      </c>
      <c r="F193" s="3">
        <v>12</v>
      </c>
      <c r="G193" s="3">
        <v>0.2</v>
      </c>
      <c r="H193" s="4">
        <v>45429</v>
      </c>
      <c r="I193" s="3">
        <f>Table2[[#This Row],[Sales]]-Table2[[#This Row],[Sales]]*Table2[[#This Row],[Discount]]</f>
        <v>377.904</v>
      </c>
      <c r="J193" s="5">
        <f t="shared" ca="1" si="3"/>
        <v>45985.797457870372</v>
      </c>
    </row>
    <row r="194" spans="1:10" x14ac:dyDescent="0.3">
      <c r="A194" s="3" t="s">
        <v>66</v>
      </c>
      <c r="B194" s="3" t="s">
        <v>40</v>
      </c>
      <c r="C194" s="3" t="s">
        <v>13</v>
      </c>
      <c r="D194" s="3" t="s">
        <v>14</v>
      </c>
      <c r="E194" s="3">
        <v>458.54</v>
      </c>
      <c r="F194" s="3">
        <v>15</v>
      </c>
      <c r="G194" s="3">
        <v>0.2</v>
      </c>
      <c r="H194" s="4">
        <v>45741</v>
      </c>
      <c r="I194" s="3">
        <f>Table2[[#This Row],[Sales]]-Table2[[#This Row],[Sales]]*Table2[[#This Row],[Discount]]</f>
        <v>366.83199999999999</v>
      </c>
      <c r="J194" s="5">
        <f t="shared" ref="J194:J201" ca="1" si="4">NOW()</f>
        <v>45985.797457870372</v>
      </c>
    </row>
    <row r="195" spans="1:10" x14ac:dyDescent="0.3">
      <c r="A195" s="3" t="s">
        <v>53</v>
      </c>
      <c r="B195" s="3" t="s">
        <v>24</v>
      </c>
      <c r="C195" s="3" t="s">
        <v>43</v>
      </c>
      <c r="D195" s="3" t="s">
        <v>20</v>
      </c>
      <c r="E195" s="3">
        <v>438.76</v>
      </c>
      <c r="F195" s="3">
        <v>18</v>
      </c>
      <c r="G195" s="3">
        <v>0.2</v>
      </c>
      <c r="H195" s="4">
        <v>45726</v>
      </c>
      <c r="I195" s="3">
        <f>Table2[[#This Row],[Sales]]-Table2[[#This Row],[Sales]]*Table2[[#This Row],[Discount]]</f>
        <v>351.00799999999998</v>
      </c>
      <c r="J195" s="5">
        <f t="shared" ca="1" si="4"/>
        <v>45985.797457870372</v>
      </c>
    </row>
    <row r="196" spans="1:10" x14ac:dyDescent="0.3">
      <c r="A196" s="3" t="s">
        <v>50</v>
      </c>
      <c r="B196" s="3" t="s">
        <v>69</v>
      </c>
      <c r="C196" s="3" t="s">
        <v>13</v>
      </c>
      <c r="D196" s="3" t="s">
        <v>14</v>
      </c>
      <c r="E196" s="3">
        <v>388.56</v>
      </c>
      <c r="F196" s="3">
        <v>14</v>
      </c>
      <c r="G196" s="3">
        <v>0.2</v>
      </c>
      <c r="H196" s="4">
        <v>45416</v>
      </c>
      <c r="I196" s="3">
        <f>Table2[[#This Row],[Sales]]-Table2[[#This Row],[Sales]]*Table2[[#This Row],[Discount]]</f>
        <v>310.84800000000001</v>
      </c>
      <c r="J196" s="5">
        <f t="shared" ca="1" si="4"/>
        <v>45985.797457870372</v>
      </c>
    </row>
    <row r="197" spans="1:10" x14ac:dyDescent="0.3">
      <c r="A197" s="3" t="s">
        <v>50</v>
      </c>
      <c r="B197" s="3" t="s">
        <v>70</v>
      </c>
      <c r="C197" s="3" t="s">
        <v>19</v>
      </c>
      <c r="D197" s="3" t="s">
        <v>20</v>
      </c>
      <c r="E197" s="3">
        <v>388.23</v>
      </c>
      <c r="F197" s="3">
        <v>16</v>
      </c>
      <c r="G197" s="3">
        <v>0.2</v>
      </c>
      <c r="H197" s="4">
        <v>45650</v>
      </c>
      <c r="I197" s="3">
        <f>Table2[[#This Row],[Sales]]-Table2[[#This Row],[Sales]]*Table2[[#This Row],[Discount]]</f>
        <v>310.584</v>
      </c>
      <c r="J197" s="5">
        <f t="shared" ca="1" si="4"/>
        <v>45985.797457870372</v>
      </c>
    </row>
    <row r="198" spans="1:10" x14ac:dyDescent="0.3">
      <c r="A198" s="3" t="s">
        <v>9</v>
      </c>
      <c r="B198" s="3" t="s">
        <v>34</v>
      </c>
      <c r="C198" s="3" t="s">
        <v>11</v>
      </c>
      <c r="D198" s="3" t="s">
        <v>12</v>
      </c>
      <c r="E198" s="3">
        <v>379.77</v>
      </c>
      <c r="F198" s="3">
        <v>9</v>
      </c>
      <c r="G198" s="3">
        <v>0.2</v>
      </c>
      <c r="H198" s="4">
        <v>45673</v>
      </c>
      <c r="I198" s="3">
        <f>Table2[[#This Row],[Sales]]-Table2[[#This Row],[Sales]]*Table2[[#This Row],[Discount]]</f>
        <v>303.81599999999997</v>
      </c>
      <c r="J198" s="5">
        <f t="shared" ca="1" si="4"/>
        <v>45985.797457870372</v>
      </c>
    </row>
    <row r="199" spans="1:10" x14ac:dyDescent="0.3">
      <c r="A199" s="3" t="s">
        <v>39</v>
      </c>
      <c r="B199" s="3" t="s">
        <v>36</v>
      </c>
      <c r="C199" s="3" t="s">
        <v>13</v>
      </c>
      <c r="D199" s="3" t="s">
        <v>12</v>
      </c>
      <c r="E199" s="3">
        <v>336.66</v>
      </c>
      <c r="F199" s="3">
        <v>13</v>
      </c>
      <c r="G199" s="3">
        <v>0.2</v>
      </c>
      <c r="H199" s="4">
        <v>45651</v>
      </c>
      <c r="I199" s="3">
        <f>Table2[[#This Row],[Sales]]-Table2[[#This Row],[Sales]]*Table2[[#This Row],[Discount]]</f>
        <v>269.32800000000003</v>
      </c>
      <c r="J199" s="5">
        <f t="shared" ca="1" si="4"/>
        <v>45985.797457870372</v>
      </c>
    </row>
    <row r="200" spans="1:10" x14ac:dyDescent="0.3">
      <c r="A200" s="3" t="s">
        <v>44</v>
      </c>
      <c r="B200" s="3" t="s">
        <v>45</v>
      </c>
      <c r="C200" s="3" t="s">
        <v>13</v>
      </c>
      <c r="D200" s="3" t="s">
        <v>20</v>
      </c>
      <c r="E200" s="3">
        <v>309.42</v>
      </c>
      <c r="F200" s="3">
        <v>1</v>
      </c>
      <c r="G200" s="3">
        <v>0.2</v>
      </c>
      <c r="H200" s="4">
        <v>45658</v>
      </c>
      <c r="I200" s="3">
        <f>Table2[[#This Row],[Sales]]-Table2[[#This Row],[Sales]]*Table2[[#This Row],[Discount]]</f>
        <v>247.536</v>
      </c>
      <c r="J200" s="5">
        <f t="shared" ca="1" si="4"/>
        <v>45985.797457870372</v>
      </c>
    </row>
    <row r="201" spans="1:10" x14ac:dyDescent="0.3">
      <c r="A201" s="3" t="s">
        <v>32</v>
      </c>
      <c r="B201" s="3" t="s">
        <v>10</v>
      </c>
      <c r="C201" s="3" t="s">
        <v>11</v>
      </c>
      <c r="D201" s="3" t="s">
        <v>14</v>
      </c>
      <c r="E201" s="3">
        <v>258.51</v>
      </c>
      <c r="F201" s="3">
        <v>19</v>
      </c>
      <c r="G201" s="3">
        <v>0.2</v>
      </c>
      <c r="H201" s="4">
        <v>45616</v>
      </c>
      <c r="I201" s="3">
        <f>Table2[[#This Row],[Sales]]-Table2[[#This Row],[Sales]]*Table2[[#This Row],[Discount]]</f>
        <v>206.80799999999999</v>
      </c>
      <c r="J201" s="5">
        <f t="shared" ca="1" si="4"/>
        <v>45985.797457870372</v>
      </c>
    </row>
  </sheetData>
  <scenarios current="1" sqref="N44">
    <scenario name="High Discount" locked="1" count="1" user="ASUS" comment="Created by Gopi">
      <inputCells r="G2" val="0.5"/>
    </scenario>
    <scenario name="Low Discount" locked="1" count="1" user="ASUS" comment="Created by Gopi">
      <inputCells r="G2" val="0.05"/>
    </scenario>
  </scenarios>
  <mergeCells count="4">
    <mergeCell ref="M38:N38"/>
    <mergeCell ref="M2:U2"/>
    <mergeCell ref="M23:N23"/>
    <mergeCell ref="S23:U24"/>
  </mergeCells>
  <conditionalFormatting sqref="B2:E201">
    <cfRule type="expression" dxfId="2" priority="2">
      <formula>RANK(E2,$E$2:$E$201) &lt;=10</formula>
    </cfRule>
    <cfRule type="expression" dxfId="1" priority="4">
      <formula>RANK(E2,$E$2:$E$201)&lt;=10</formula>
    </cfRule>
    <cfRule type="expression" dxfId="0" priority="5">
      <formula>RANK(E2,$E$2:$E$201)&lt;=10</formula>
    </cfRule>
    <cfRule type="expression" priority="6">
      <formula>RANK(E2,$E$2:$E$201)&lt;=10</formula>
    </cfRule>
  </conditionalFormatting>
  <conditionalFormatting sqref="U26:U37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2D94E-2D03-466B-AF23-1B3BBD0EC724}">
  <dimension ref="A1:AH300"/>
  <sheetViews>
    <sheetView showGridLines="0" zoomScale="77" zoomScaleNormal="77" workbookViewId="0">
      <selection activeCell="AA16" sqref="AA16"/>
    </sheetView>
  </sheetViews>
  <sheetFormatPr defaultRowHeight="14.4" x14ac:dyDescent="0.3"/>
  <cols>
    <col min="10" max="10" width="13.33203125" bestFit="1" customWidth="1"/>
    <col min="11" max="11" width="11.6640625" bestFit="1" customWidth="1"/>
    <col min="15" max="15" width="5.33203125" customWidth="1"/>
    <col min="16" max="16" width="12.44140625" customWidth="1"/>
    <col min="17" max="17" width="16.21875" bestFit="1" customWidth="1"/>
    <col min="18" max="18" width="9.21875" customWidth="1"/>
    <col min="19" max="19" width="8.88671875" customWidth="1"/>
    <col min="20" max="20" width="8.44140625" customWidth="1"/>
    <col min="21" max="21" width="11.109375" customWidth="1"/>
    <col min="22" max="22" width="5.109375" customWidth="1"/>
    <col min="24" max="24" width="13.33203125" bestFit="1" customWidth="1"/>
    <col min="25" max="25" width="16.21875" bestFit="1" customWidth="1"/>
    <col min="26" max="26" width="9.5546875" customWidth="1"/>
    <col min="27" max="27" width="8.77734375" customWidth="1"/>
    <col min="28" max="28" width="2.77734375" customWidth="1"/>
  </cols>
  <sheetData>
    <row r="1" spans="1:34" ht="14.4" customHeight="1" x14ac:dyDescent="0.3">
      <c r="A1" s="85" t="s">
        <v>122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  <c r="R1" s="86"/>
      <c r="S1" s="86"/>
      <c r="T1" s="86"/>
      <c r="U1" s="86"/>
      <c r="V1" s="86"/>
      <c r="W1" s="86"/>
      <c r="X1" s="86"/>
      <c r="Y1" s="86"/>
      <c r="Z1" s="86"/>
      <c r="AA1" s="86"/>
      <c r="AB1" s="86"/>
      <c r="AC1" s="87"/>
      <c r="AD1" s="84"/>
      <c r="AE1" s="84"/>
      <c r="AF1" s="84"/>
      <c r="AG1" s="84"/>
      <c r="AH1" s="84"/>
    </row>
    <row r="2" spans="1:34" ht="14.4" customHeight="1" x14ac:dyDescent="0.3">
      <c r="A2" s="88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9"/>
      <c r="AD2" s="84"/>
      <c r="AE2" s="84"/>
      <c r="AF2" s="84"/>
      <c r="AG2" s="84"/>
      <c r="AH2" s="84"/>
    </row>
    <row r="3" spans="1:34" ht="14.4" customHeight="1" x14ac:dyDescent="0.3">
      <c r="A3" s="88"/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3"/>
      <c r="X3" s="83"/>
      <c r="Y3" s="83"/>
      <c r="Z3" s="83"/>
      <c r="AA3" s="83"/>
      <c r="AB3" s="83"/>
      <c r="AC3" s="89"/>
      <c r="AD3" s="84"/>
      <c r="AE3" s="84"/>
      <c r="AF3" s="84"/>
      <c r="AG3" s="84"/>
      <c r="AH3" s="84"/>
    </row>
    <row r="4" spans="1:34" ht="14.4" customHeight="1" x14ac:dyDescent="0.3">
      <c r="A4" s="88"/>
      <c r="B4" s="83"/>
      <c r="C4" s="83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3"/>
      <c r="X4" s="83"/>
      <c r="Y4" s="83"/>
      <c r="Z4" s="83"/>
      <c r="AA4" s="83"/>
      <c r="AB4" s="83"/>
      <c r="AC4" s="89"/>
      <c r="AD4" s="84"/>
      <c r="AE4" s="84"/>
      <c r="AF4" s="84"/>
      <c r="AG4" s="84"/>
      <c r="AH4" s="84"/>
    </row>
    <row r="5" spans="1:34" ht="14.4" customHeight="1" thickBot="1" x14ac:dyDescent="0.35">
      <c r="A5" s="90"/>
      <c r="B5" s="91"/>
      <c r="C5" s="91"/>
      <c r="D5" s="91"/>
      <c r="E5" s="91"/>
      <c r="F5" s="91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2"/>
      <c r="AD5" s="84"/>
      <c r="AE5" s="84"/>
      <c r="AF5" s="84"/>
      <c r="AG5" s="84"/>
      <c r="AH5" s="84"/>
    </row>
    <row r="6" spans="1:34" x14ac:dyDescent="0.3">
      <c r="A6" s="3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93"/>
      <c r="AD6" s="81"/>
      <c r="AE6" s="81"/>
      <c r="AF6" s="81"/>
      <c r="AG6" s="81"/>
      <c r="AH6" s="81"/>
    </row>
    <row r="7" spans="1:34" x14ac:dyDescent="0.3">
      <c r="A7" s="65"/>
      <c r="B7" s="66"/>
      <c r="C7" s="66"/>
      <c r="D7" s="66"/>
      <c r="E7" s="66"/>
      <c r="F7" s="66"/>
      <c r="G7" s="66"/>
      <c r="H7" s="66"/>
      <c r="I7" s="66"/>
      <c r="J7" s="33"/>
      <c r="K7" s="24"/>
      <c r="L7" s="24"/>
      <c r="M7" s="24"/>
      <c r="N7" s="24"/>
      <c r="O7" s="43"/>
      <c r="P7" s="42"/>
      <c r="Q7" s="42"/>
      <c r="R7" s="45"/>
      <c r="S7" s="24"/>
      <c r="T7" s="24"/>
      <c r="U7" s="24"/>
      <c r="V7" s="24"/>
      <c r="W7" s="72"/>
      <c r="X7" s="71"/>
      <c r="Y7" s="71"/>
      <c r="Z7" s="74"/>
      <c r="AA7" s="24"/>
      <c r="AB7" s="24"/>
      <c r="AC7" s="94"/>
      <c r="AD7" s="81"/>
      <c r="AE7" s="81"/>
      <c r="AF7" s="81"/>
      <c r="AG7" s="81"/>
      <c r="AH7" s="81"/>
    </row>
    <row r="8" spans="1:34" x14ac:dyDescent="0.3">
      <c r="A8" s="67"/>
      <c r="B8" s="97"/>
      <c r="C8" s="97"/>
      <c r="D8" s="97"/>
      <c r="E8" s="97"/>
      <c r="F8" s="97"/>
      <c r="G8" s="97"/>
      <c r="H8" s="97"/>
      <c r="I8" s="97"/>
      <c r="J8" s="33"/>
      <c r="K8" s="24"/>
      <c r="L8" s="24"/>
      <c r="M8" s="24"/>
      <c r="N8" s="24"/>
      <c r="O8" s="44"/>
      <c r="P8" s="25" t="s">
        <v>123</v>
      </c>
      <c r="Q8" t="s">
        <v>126</v>
      </c>
      <c r="R8" s="46"/>
      <c r="S8" s="24"/>
      <c r="T8" s="24"/>
      <c r="U8" s="24"/>
      <c r="V8" s="24"/>
      <c r="W8" s="73"/>
      <c r="X8" s="25" t="s">
        <v>123</v>
      </c>
      <c r="Y8" t="s">
        <v>126</v>
      </c>
      <c r="Z8" s="75"/>
      <c r="AA8" s="24"/>
      <c r="AB8" s="24"/>
      <c r="AC8" s="94"/>
      <c r="AD8" s="81"/>
      <c r="AE8" s="81"/>
      <c r="AF8" s="81"/>
      <c r="AG8" s="81"/>
      <c r="AH8" s="81"/>
    </row>
    <row r="9" spans="1:34" x14ac:dyDescent="0.3">
      <c r="A9" s="67"/>
      <c r="B9" s="97"/>
      <c r="C9" s="97"/>
      <c r="D9" s="97"/>
      <c r="E9" s="97"/>
      <c r="F9" s="97"/>
      <c r="G9" s="97"/>
      <c r="H9" s="97"/>
      <c r="I9" s="97"/>
      <c r="J9" s="34"/>
      <c r="K9" s="24"/>
      <c r="L9" s="24"/>
      <c r="M9" s="24"/>
      <c r="N9" s="24"/>
      <c r="O9" s="44"/>
      <c r="P9" s="41">
        <v>45383</v>
      </c>
      <c r="Q9">
        <v>-2.7463010957458601E-2</v>
      </c>
      <c r="R9" s="46"/>
      <c r="S9" s="24"/>
      <c r="T9" s="24"/>
      <c r="U9" s="24"/>
      <c r="V9" s="24"/>
      <c r="W9" s="73"/>
      <c r="X9" s="26" t="s">
        <v>127</v>
      </c>
      <c r="Y9" s="79"/>
      <c r="Z9" s="75"/>
      <c r="AA9" s="24"/>
      <c r="AB9" s="24"/>
      <c r="AC9" s="94"/>
      <c r="AD9" s="81"/>
      <c r="AE9" s="81"/>
      <c r="AF9" s="81"/>
      <c r="AG9" s="81"/>
      <c r="AH9" s="81"/>
    </row>
    <row r="10" spans="1:34" x14ac:dyDescent="0.3">
      <c r="A10" s="67"/>
      <c r="B10" s="97"/>
      <c r="C10" s="97"/>
      <c r="D10" s="97"/>
      <c r="E10" s="97"/>
      <c r="F10" s="97"/>
      <c r="G10" s="97"/>
      <c r="H10" s="97"/>
      <c r="I10" s="97"/>
      <c r="J10" s="27"/>
      <c r="K10" s="27"/>
      <c r="L10" s="30"/>
      <c r="M10" s="24"/>
      <c r="N10" s="24"/>
      <c r="O10" s="44"/>
      <c r="P10" s="41">
        <v>45413</v>
      </c>
      <c r="Q10">
        <v>9.0783980842195078E-2</v>
      </c>
      <c r="R10" s="46"/>
      <c r="S10" s="24"/>
      <c r="T10" s="24"/>
      <c r="U10" s="24"/>
      <c r="V10" s="24"/>
      <c r="W10" s="73"/>
      <c r="X10" s="80">
        <v>45658</v>
      </c>
      <c r="Y10" s="79">
        <v>-6.0899183018039371E-2</v>
      </c>
      <c r="Z10" s="75"/>
      <c r="AA10" s="24"/>
      <c r="AB10" s="24"/>
      <c r="AC10" s="94"/>
      <c r="AD10" s="81"/>
      <c r="AE10" s="81"/>
      <c r="AF10" s="81"/>
      <c r="AG10" s="81"/>
      <c r="AH10" s="81"/>
    </row>
    <row r="11" spans="1:34" x14ac:dyDescent="0.3">
      <c r="A11" s="67"/>
      <c r="B11" s="97"/>
      <c r="C11" s="97"/>
      <c r="D11" s="97"/>
      <c r="E11" s="97"/>
      <c r="F11" s="97"/>
      <c r="G11" s="97"/>
      <c r="H11" s="97"/>
      <c r="I11" s="97"/>
      <c r="J11" s="25" t="s">
        <v>123</v>
      </c>
      <c r="K11" t="s">
        <v>125</v>
      </c>
      <c r="L11" s="29"/>
      <c r="M11" s="24"/>
      <c r="N11" s="24"/>
      <c r="O11" s="44"/>
      <c r="P11" s="41">
        <v>45444</v>
      </c>
      <c r="Q11">
        <v>-0.42493947990613989</v>
      </c>
      <c r="R11" s="46"/>
      <c r="S11" s="24"/>
      <c r="T11" s="24"/>
      <c r="U11" s="24"/>
      <c r="V11" s="24"/>
      <c r="W11" s="73"/>
      <c r="X11" s="80">
        <v>45689</v>
      </c>
      <c r="Y11" s="79">
        <v>0.26051450912299834</v>
      </c>
      <c r="Z11" s="75"/>
      <c r="AA11" s="24"/>
      <c r="AB11" s="24"/>
      <c r="AC11" s="94"/>
      <c r="AD11" s="81"/>
      <c r="AE11" s="81"/>
      <c r="AF11" s="81"/>
      <c r="AG11" s="81"/>
      <c r="AH11" s="81"/>
    </row>
    <row r="12" spans="1:34" x14ac:dyDescent="0.3">
      <c r="A12" s="67"/>
      <c r="B12" s="97"/>
      <c r="C12" s="97"/>
      <c r="D12" s="97"/>
      <c r="E12" s="97"/>
      <c r="F12" s="97"/>
      <c r="G12" s="97"/>
      <c r="H12" s="97"/>
      <c r="I12" s="97"/>
      <c r="J12" s="26" t="s">
        <v>19</v>
      </c>
      <c r="K12" s="79">
        <v>43468.329999999994</v>
      </c>
      <c r="L12" s="29"/>
      <c r="M12" s="24"/>
      <c r="N12" s="24"/>
      <c r="O12" s="44"/>
      <c r="P12" s="41">
        <v>45474</v>
      </c>
      <c r="Q12">
        <v>-0.13070331396911358</v>
      </c>
      <c r="R12" s="46"/>
      <c r="S12" s="24"/>
      <c r="T12" s="24"/>
      <c r="U12" s="24"/>
      <c r="V12" s="24"/>
      <c r="W12" s="73"/>
      <c r="X12" s="80">
        <v>45717</v>
      </c>
      <c r="Y12" s="79">
        <v>7.7865922939504881E-2</v>
      </c>
      <c r="Z12" s="75"/>
      <c r="AA12" s="24"/>
      <c r="AB12" s="24"/>
      <c r="AC12" s="94"/>
      <c r="AD12" s="81"/>
      <c r="AE12" s="81"/>
      <c r="AF12" s="81"/>
      <c r="AG12" s="81"/>
      <c r="AH12" s="81"/>
    </row>
    <row r="13" spans="1:34" x14ac:dyDescent="0.3">
      <c r="A13" s="67"/>
      <c r="B13" s="97"/>
      <c r="C13" s="97"/>
      <c r="D13" s="97"/>
      <c r="E13" s="97"/>
      <c r="F13" s="97"/>
      <c r="G13" s="97"/>
      <c r="H13" s="97"/>
      <c r="I13" s="97"/>
      <c r="J13" s="26" t="s">
        <v>43</v>
      </c>
      <c r="K13" s="79">
        <v>32441.640000000003</v>
      </c>
      <c r="L13" s="29"/>
      <c r="M13" s="24"/>
      <c r="N13" s="24"/>
      <c r="O13" s="44"/>
      <c r="P13" s="41">
        <v>45505</v>
      </c>
      <c r="Q13">
        <v>1.0346918755016501</v>
      </c>
      <c r="R13" s="46"/>
      <c r="S13" s="24"/>
      <c r="T13" s="24"/>
      <c r="U13" s="24"/>
      <c r="V13" s="24"/>
      <c r="W13" s="73"/>
      <c r="X13" s="26" t="s">
        <v>128</v>
      </c>
      <c r="Y13" s="79"/>
      <c r="Z13" s="75"/>
      <c r="AA13" s="24"/>
      <c r="AB13" s="24"/>
      <c r="AC13" s="94"/>
      <c r="AD13" s="81"/>
      <c r="AE13" s="81"/>
      <c r="AF13" s="81"/>
      <c r="AG13" s="81"/>
      <c r="AH13" s="81"/>
    </row>
    <row r="14" spans="1:34" x14ac:dyDescent="0.3">
      <c r="A14" s="67"/>
      <c r="B14" s="97"/>
      <c r="C14" s="97"/>
      <c r="D14" s="97"/>
      <c r="E14" s="97"/>
      <c r="F14" s="97"/>
      <c r="G14" s="97"/>
      <c r="H14" s="97"/>
      <c r="I14" s="97"/>
      <c r="J14" s="26" t="s">
        <v>13</v>
      </c>
      <c r="K14" s="79">
        <v>34975.42</v>
      </c>
      <c r="L14" s="29"/>
      <c r="M14" s="24"/>
      <c r="N14" s="24"/>
      <c r="O14" s="44"/>
      <c r="P14" s="41">
        <v>45536</v>
      </c>
      <c r="Q14">
        <v>-0.30770496992719226</v>
      </c>
      <c r="R14" s="46"/>
      <c r="S14" s="24"/>
      <c r="T14" s="24"/>
      <c r="U14" s="24"/>
      <c r="V14" s="24"/>
      <c r="W14" s="73"/>
      <c r="X14" s="80">
        <v>45383</v>
      </c>
      <c r="Y14" s="79">
        <v>-2.7463010957458601E-2</v>
      </c>
      <c r="Z14" s="75"/>
      <c r="AA14" s="24"/>
      <c r="AB14" s="24"/>
      <c r="AC14" s="94"/>
      <c r="AD14" s="81"/>
      <c r="AE14" s="81"/>
      <c r="AF14" s="81"/>
      <c r="AG14" s="81"/>
      <c r="AH14" s="81"/>
    </row>
    <row r="15" spans="1:34" x14ac:dyDescent="0.3">
      <c r="A15" s="67"/>
      <c r="B15" s="97"/>
      <c r="C15" s="97"/>
      <c r="D15" s="97"/>
      <c r="E15" s="97"/>
      <c r="F15" s="97"/>
      <c r="G15" s="97"/>
      <c r="H15" s="97"/>
      <c r="I15" s="97"/>
      <c r="J15" s="26" t="s">
        <v>29</v>
      </c>
      <c r="K15" s="79">
        <v>40248.79</v>
      </c>
      <c r="L15" s="29"/>
      <c r="M15" s="24"/>
      <c r="N15" s="24"/>
      <c r="O15" s="44"/>
      <c r="P15" s="41">
        <v>45566</v>
      </c>
      <c r="Q15">
        <v>0.41643968023051309</v>
      </c>
      <c r="R15" s="46"/>
      <c r="S15" s="24"/>
      <c r="T15" s="24"/>
      <c r="U15" s="24"/>
      <c r="V15" s="24"/>
      <c r="W15" s="73"/>
      <c r="X15" s="80">
        <v>45413</v>
      </c>
      <c r="Y15" s="79">
        <v>9.0783980842195078E-2</v>
      </c>
      <c r="Z15" s="75"/>
      <c r="AA15" s="24"/>
      <c r="AB15" s="24"/>
      <c r="AC15" s="94"/>
      <c r="AD15" s="81"/>
      <c r="AE15" s="81"/>
      <c r="AF15" s="81"/>
      <c r="AG15" s="81"/>
      <c r="AH15" s="81"/>
    </row>
    <row r="16" spans="1:34" x14ac:dyDescent="0.3">
      <c r="A16" s="67"/>
      <c r="B16" s="97"/>
      <c r="C16" s="97"/>
      <c r="D16" s="97"/>
      <c r="E16" s="97"/>
      <c r="F16" s="97"/>
      <c r="G16" s="97"/>
      <c r="H16" s="97"/>
      <c r="I16" s="97"/>
      <c r="J16" s="26" t="s">
        <v>11</v>
      </c>
      <c r="K16" s="79">
        <v>44083.580000000009</v>
      </c>
      <c r="L16" s="29"/>
      <c r="M16" s="24"/>
      <c r="N16" s="24"/>
      <c r="O16" s="44"/>
      <c r="P16" s="41">
        <v>45597</v>
      </c>
      <c r="Q16">
        <v>-0.44772667336477762</v>
      </c>
      <c r="R16" s="46"/>
      <c r="S16" s="24"/>
      <c r="T16" s="24"/>
      <c r="U16" s="24"/>
      <c r="V16" s="24"/>
      <c r="W16" s="73"/>
      <c r="X16" s="80">
        <v>45444</v>
      </c>
      <c r="Y16" s="79">
        <v>-0.42493947990613989</v>
      </c>
      <c r="Z16" s="75"/>
      <c r="AA16" s="24"/>
      <c r="AB16" s="24"/>
      <c r="AC16" s="94"/>
      <c r="AD16" s="81"/>
      <c r="AE16" s="81"/>
      <c r="AF16" s="81"/>
      <c r="AG16" s="81"/>
      <c r="AH16" s="81"/>
    </row>
    <row r="17" spans="1:34" x14ac:dyDescent="0.3">
      <c r="A17" s="67"/>
      <c r="B17" s="97"/>
      <c r="C17" s="97"/>
      <c r="D17" s="97"/>
      <c r="E17" s="97"/>
      <c r="F17" s="97"/>
      <c r="G17" s="97"/>
      <c r="H17" s="97"/>
      <c r="I17" s="97"/>
      <c r="J17" s="26" t="s">
        <v>124</v>
      </c>
      <c r="K17" s="79">
        <v>195217.76</v>
      </c>
      <c r="L17" s="29"/>
      <c r="M17" s="24"/>
      <c r="N17" s="24"/>
      <c r="O17" s="44"/>
      <c r="P17" s="41">
        <v>45627</v>
      </c>
      <c r="Q17">
        <v>-1</v>
      </c>
      <c r="R17" s="46"/>
      <c r="S17" s="24"/>
      <c r="T17" s="24"/>
      <c r="U17" s="24"/>
      <c r="V17" s="24"/>
      <c r="W17" s="73"/>
      <c r="X17" s="26" t="s">
        <v>129</v>
      </c>
      <c r="Y17" s="79"/>
      <c r="Z17" s="75"/>
      <c r="AA17" s="24"/>
      <c r="AB17" s="24"/>
      <c r="AC17" s="94"/>
      <c r="AD17" s="81"/>
      <c r="AE17" s="81"/>
      <c r="AF17" s="81"/>
      <c r="AG17" s="81"/>
      <c r="AH17" s="81"/>
    </row>
    <row r="18" spans="1:34" x14ac:dyDescent="0.3">
      <c r="A18" s="67"/>
      <c r="B18" s="97"/>
      <c r="C18" s="97"/>
      <c r="D18" s="97"/>
      <c r="E18" s="97"/>
      <c r="F18" s="97"/>
      <c r="G18" s="97"/>
      <c r="H18" s="97"/>
      <c r="I18" s="97"/>
      <c r="J18" s="28"/>
      <c r="K18" s="28"/>
      <c r="L18" s="31"/>
      <c r="M18" s="24"/>
      <c r="N18" s="24"/>
      <c r="O18" s="44"/>
      <c r="P18" s="41">
        <v>45658</v>
      </c>
      <c r="Q18">
        <v>-6.0899183018039371E-2</v>
      </c>
      <c r="R18" s="46"/>
      <c r="S18" s="24"/>
      <c r="T18" s="24"/>
      <c r="U18" s="24"/>
      <c r="V18" s="24"/>
      <c r="W18" s="73"/>
      <c r="X18" s="80">
        <v>45474</v>
      </c>
      <c r="Y18" s="79">
        <v>-0.13070331396911358</v>
      </c>
      <c r="Z18" s="75"/>
      <c r="AA18" s="24"/>
      <c r="AB18" s="24"/>
      <c r="AC18" s="94"/>
      <c r="AD18" s="81"/>
      <c r="AE18" s="81"/>
      <c r="AF18" s="81"/>
      <c r="AG18" s="81"/>
      <c r="AH18" s="81"/>
    </row>
    <row r="19" spans="1:34" x14ac:dyDescent="0.3">
      <c r="A19" s="67"/>
      <c r="B19" s="97"/>
      <c r="C19" s="97"/>
      <c r="D19" s="97"/>
      <c r="E19" s="97"/>
      <c r="F19" s="97"/>
      <c r="G19" s="97"/>
      <c r="H19" s="97"/>
      <c r="I19" s="97"/>
      <c r="J19" s="35"/>
      <c r="K19" s="24"/>
      <c r="L19" s="24"/>
      <c r="M19" s="24"/>
      <c r="N19" s="24"/>
      <c r="O19" s="44"/>
      <c r="P19" s="41">
        <v>45689</v>
      </c>
      <c r="Q19">
        <v>0.26051450912299834</v>
      </c>
      <c r="R19" s="46"/>
      <c r="S19" s="24"/>
      <c r="T19" s="24"/>
      <c r="U19" s="24"/>
      <c r="V19" s="24"/>
      <c r="W19" s="73"/>
      <c r="X19" s="80">
        <v>45505</v>
      </c>
      <c r="Y19" s="79">
        <v>1.0346918755016501</v>
      </c>
      <c r="Z19" s="75"/>
      <c r="AA19" s="24"/>
      <c r="AB19" s="24"/>
      <c r="AC19" s="94"/>
      <c r="AD19" s="81"/>
      <c r="AE19" s="81"/>
      <c r="AF19" s="81"/>
      <c r="AG19" s="81"/>
      <c r="AH19" s="81"/>
    </row>
    <row r="20" spans="1:34" x14ac:dyDescent="0.3">
      <c r="A20" s="67"/>
      <c r="B20" s="97"/>
      <c r="C20" s="97"/>
      <c r="D20" s="97"/>
      <c r="E20" s="97"/>
      <c r="F20" s="97"/>
      <c r="G20" s="97"/>
      <c r="H20" s="97"/>
      <c r="I20" s="97"/>
      <c r="J20" s="33"/>
      <c r="K20" s="24"/>
      <c r="L20" s="24"/>
      <c r="M20" s="24"/>
      <c r="N20" s="24"/>
      <c r="O20" s="44"/>
      <c r="P20" s="41">
        <v>45717</v>
      </c>
      <c r="Q20">
        <v>7.7865922939504881E-2</v>
      </c>
      <c r="R20" s="46"/>
      <c r="S20" s="24"/>
      <c r="T20" s="24"/>
      <c r="U20" s="24"/>
      <c r="V20" s="24"/>
      <c r="W20" s="73"/>
      <c r="X20" s="80">
        <v>45536</v>
      </c>
      <c r="Y20" s="79">
        <v>-0.30770496992719226</v>
      </c>
      <c r="Z20" s="75"/>
      <c r="AA20" s="24"/>
      <c r="AB20" s="24"/>
      <c r="AC20" s="94"/>
      <c r="AD20" s="81"/>
      <c r="AE20" s="81"/>
      <c r="AF20" s="81"/>
      <c r="AG20" s="81"/>
      <c r="AH20" s="81"/>
    </row>
    <row r="21" spans="1:34" x14ac:dyDescent="0.3">
      <c r="A21" s="68"/>
      <c r="B21" s="69"/>
      <c r="C21" s="69"/>
      <c r="D21" s="69"/>
      <c r="E21" s="69"/>
      <c r="F21" s="69"/>
      <c r="G21" s="69"/>
      <c r="H21" s="69"/>
      <c r="I21" s="69"/>
      <c r="J21" s="33"/>
      <c r="K21" s="24"/>
      <c r="L21" s="24"/>
      <c r="M21" s="24"/>
      <c r="N21" s="24"/>
      <c r="O21" s="44"/>
      <c r="P21" s="41" t="s">
        <v>124</v>
      </c>
      <c r="Q21">
        <v>-0.51914066250585988</v>
      </c>
      <c r="R21" s="46"/>
      <c r="S21" s="24"/>
      <c r="T21" s="24"/>
      <c r="U21" s="24"/>
      <c r="V21" s="24"/>
      <c r="W21" s="73"/>
      <c r="X21" s="26" t="s">
        <v>130</v>
      </c>
      <c r="Y21" s="79">
        <v>-1.0312869931342645</v>
      </c>
      <c r="Z21" s="75"/>
      <c r="AA21" s="24"/>
      <c r="AB21" s="24"/>
      <c r="AC21" s="94"/>
      <c r="AD21" s="81"/>
      <c r="AE21" s="81"/>
      <c r="AF21" s="81"/>
      <c r="AG21" s="81"/>
      <c r="AH21" s="81"/>
    </row>
    <row r="22" spans="1:34" x14ac:dyDescent="0.3">
      <c r="A22" s="95"/>
      <c r="B22" s="32"/>
      <c r="C22" s="32"/>
      <c r="D22" s="32"/>
      <c r="E22" s="32"/>
      <c r="F22" s="32"/>
      <c r="G22" s="32"/>
      <c r="H22" s="32"/>
      <c r="I22" s="32"/>
      <c r="J22" s="24"/>
      <c r="K22" s="24"/>
      <c r="L22" s="24"/>
      <c r="M22" s="24"/>
      <c r="N22" s="24"/>
      <c r="O22" s="44"/>
      <c r="P22" s="47"/>
      <c r="Q22" s="47"/>
      <c r="R22" s="46"/>
      <c r="S22" s="24"/>
      <c r="T22" s="24"/>
      <c r="U22" s="24"/>
      <c r="V22" s="24"/>
      <c r="W22" s="73"/>
      <c r="X22" s="26" t="s">
        <v>124</v>
      </c>
      <c r="Y22" s="79">
        <v>-0.51914066250585988</v>
      </c>
      <c r="Z22" s="75"/>
      <c r="AA22" s="24"/>
      <c r="AB22" s="24"/>
      <c r="AC22" s="94"/>
      <c r="AD22" s="81"/>
      <c r="AE22" s="81"/>
      <c r="AF22" s="81"/>
      <c r="AG22" s="81"/>
      <c r="AH22" s="81"/>
    </row>
    <row r="23" spans="1:34" x14ac:dyDescent="0.3">
      <c r="A23" s="3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63"/>
      <c r="O23" s="64"/>
      <c r="P23" s="64"/>
      <c r="Q23" s="64"/>
      <c r="R23" s="64"/>
      <c r="S23" s="63"/>
      <c r="T23" s="24"/>
      <c r="U23" s="72"/>
      <c r="V23" s="71"/>
      <c r="W23" s="70"/>
      <c r="X23" s="70"/>
      <c r="Y23" s="70"/>
      <c r="Z23" s="70"/>
      <c r="AA23" s="71"/>
      <c r="AB23" s="74"/>
      <c r="AC23" s="94"/>
      <c r="AD23" s="81"/>
      <c r="AE23" s="81"/>
      <c r="AF23" s="81"/>
      <c r="AG23" s="81"/>
      <c r="AH23" s="81"/>
    </row>
    <row r="24" spans="1:34" x14ac:dyDescent="0.3">
      <c r="A24" s="3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63"/>
      <c r="O24" s="63"/>
      <c r="P24" s="63"/>
      <c r="Q24" s="63"/>
      <c r="R24" s="63"/>
      <c r="S24" s="63"/>
      <c r="T24" s="24"/>
      <c r="U24" s="73"/>
      <c r="V24" s="70"/>
      <c r="W24" s="70"/>
      <c r="X24" s="70"/>
      <c r="Y24" s="70"/>
      <c r="Z24" s="70"/>
      <c r="AA24" s="70"/>
      <c r="AB24" s="75"/>
      <c r="AC24" s="94"/>
      <c r="AD24" s="81"/>
      <c r="AE24" s="81"/>
      <c r="AF24" s="81"/>
      <c r="AG24" s="81"/>
      <c r="AH24" s="81"/>
    </row>
    <row r="25" spans="1:34" x14ac:dyDescent="0.3">
      <c r="A25" s="56"/>
      <c r="B25" s="57"/>
      <c r="C25" s="57"/>
      <c r="D25" s="57"/>
      <c r="E25" s="57"/>
      <c r="F25" s="57"/>
      <c r="G25" s="57"/>
      <c r="H25" s="57"/>
      <c r="I25" s="57"/>
      <c r="J25" s="33"/>
      <c r="K25" s="24"/>
      <c r="L25" s="24"/>
      <c r="M25" s="24"/>
      <c r="N25" s="63"/>
      <c r="O25" s="63"/>
      <c r="P25" s="63"/>
      <c r="Q25" s="63"/>
      <c r="R25" s="63"/>
      <c r="S25" s="63"/>
      <c r="T25" s="24"/>
      <c r="U25" s="73"/>
      <c r="V25" s="70"/>
      <c r="W25" s="70"/>
      <c r="X25" s="70"/>
      <c r="Y25" s="70"/>
      <c r="Z25" s="70"/>
      <c r="AA25" s="70"/>
      <c r="AB25" s="75"/>
      <c r="AC25" s="94"/>
      <c r="AD25" s="81"/>
      <c r="AE25" s="81"/>
      <c r="AF25" s="81"/>
      <c r="AG25" s="81"/>
      <c r="AH25" s="81"/>
    </row>
    <row r="26" spans="1:34" x14ac:dyDescent="0.3">
      <c r="A26" s="58"/>
      <c r="B26" s="96"/>
      <c r="C26" s="96"/>
      <c r="D26" s="96"/>
      <c r="E26" s="96"/>
      <c r="F26" s="96"/>
      <c r="G26" s="96"/>
      <c r="H26" s="96"/>
      <c r="I26" s="96"/>
      <c r="J26" s="33"/>
      <c r="K26" s="24"/>
      <c r="L26" s="24"/>
      <c r="M26" s="24"/>
      <c r="N26" s="63"/>
      <c r="O26" s="63"/>
      <c r="P26" s="63"/>
      <c r="Q26" s="63"/>
      <c r="R26" s="63"/>
      <c r="S26" s="63"/>
      <c r="T26" s="24"/>
      <c r="U26" s="73"/>
      <c r="V26" s="70"/>
      <c r="W26" s="70"/>
      <c r="X26" s="70"/>
      <c r="Y26" s="70"/>
      <c r="Z26" s="70"/>
      <c r="AA26" s="70"/>
      <c r="AB26" s="75"/>
      <c r="AC26" s="94"/>
      <c r="AD26" s="81"/>
      <c r="AE26" s="81"/>
      <c r="AF26" s="81"/>
      <c r="AG26" s="81"/>
      <c r="AH26" s="81"/>
    </row>
    <row r="27" spans="1:34" x14ac:dyDescent="0.3">
      <c r="A27" s="58"/>
      <c r="B27" s="96"/>
      <c r="C27" s="96"/>
      <c r="D27" s="96"/>
      <c r="E27" s="96"/>
      <c r="F27" s="96"/>
      <c r="G27" s="96"/>
      <c r="H27" s="96"/>
      <c r="I27" s="96"/>
      <c r="J27" s="33"/>
      <c r="K27" s="24"/>
      <c r="L27" s="24"/>
      <c r="M27" s="24"/>
      <c r="N27" s="63"/>
      <c r="O27" s="63"/>
      <c r="P27" s="63"/>
      <c r="Q27" s="63"/>
      <c r="R27" s="63"/>
      <c r="S27" s="63"/>
      <c r="T27" s="24"/>
      <c r="U27" s="73"/>
      <c r="V27" s="70"/>
      <c r="W27" s="70"/>
      <c r="X27" s="70"/>
      <c r="Y27" s="70"/>
      <c r="Z27" s="70"/>
      <c r="AA27" s="70"/>
      <c r="AB27" s="75"/>
      <c r="AC27" s="94"/>
      <c r="AD27" s="81"/>
      <c r="AE27" s="81"/>
      <c r="AF27" s="81"/>
      <c r="AG27" s="81"/>
      <c r="AH27" s="81"/>
    </row>
    <row r="28" spans="1:34" x14ac:dyDescent="0.3">
      <c r="A28" s="58"/>
      <c r="B28" s="96"/>
      <c r="C28" s="96"/>
      <c r="D28" s="96"/>
      <c r="E28" s="96"/>
      <c r="F28" s="96"/>
      <c r="G28" s="96"/>
      <c r="H28" s="96"/>
      <c r="I28" s="96"/>
      <c r="J28" s="37"/>
      <c r="K28" s="37"/>
      <c r="L28" s="37"/>
      <c r="M28" s="33"/>
      <c r="N28" s="63"/>
      <c r="O28" s="63"/>
      <c r="P28" s="63"/>
      <c r="Q28" s="63"/>
      <c r="R28" s="63"/>
      <c r="S28" s="63"/>
      <c r="T28" s="24"/>
      <c r="U28" s="73"/>
      <c r="V28" s="70"/>
      <c r="W28" s="70"/>
      <c r="X28" s="70"/>
      <c r="Y28" s="70"/>
      <c r="Z28" s="70"/>
      <c r="AA28" s="70"/>
      <c r="AB28" s="75"/>
      <c r="AC28" s="94"/>
      <c r="AD28" s="81"/>
      <c r="AE28" s="81"/>
      <c r="AF28" s="81"/>
      <c r="AG28" s="81"/>
      <c r="AH28" s="81"/>
    </row>
    <row r="29" spans="1:34" x14ac:dyDescent="0.3">
      <c r="A29" s="58"/>
      <c r="B29" s="96"/>
      <c r="C29" s="96"/>
      <c r="D29" s="96"/>
      <c r="E29" s="96"/>
      <c r="F29" s="96"/>
      <c r="G29" s="96"/>
      <c r="H29" s="96"/>
      <c r="I29" s="96"/>
      <c r="J29" s="25" t="s">
        <v>123</v>
      </c>
      <c r="K29" t="s">
        <v>125</v>
      </c>
      <c r="L29" s="36"/>
      <c r="M29" s="33"/>
      <c r="N29" s="63"/>
      <c r="O29" s="63"/>
      <c r="P29" s="63"/>
      <c r="Q29" s="63"/>
      <c r="R29" s="63"/>
      <c r="S29" s="63"/>
      <c r="T29" s="24"/>
      <c r="U29" s="73"/>
      <c r="V29" s="70"/>
      <c r="W29" s="70"/>
      <c r="X29" s="70"/>
      <c r="Y29" s="70"/>
      <c r="Z29" s="70"/>
      <c r="AA29" s="70"/>
      <c r="AB29" s="75"/>
      <c r="AC29" s="94"/>
      <c r="AD29" s="81"/>
      <c r="AE29" s="81"/>
      <c r="AF29" s="81"/>
      <c r="AG29" s="81"/>
      <c r="AH29" s="81"/>
    </row>
    <row r="30" spans="1:34" x14ac:dyDescent="0.3">
      <c r="A30" s="58"/>
      <c r="B30" s="96"/>
      <c r="C30" s="96"/>
      <c r="D30" s="96"/>
      <c r="E30" s="96"/>
      <c r="F30" s="96"/>
      <c r="G30" s="96"/>
      <c r="H30" s="96"/>
      <c r="I30" s="96"/>
      <c r="J30" s="26" t="s">
        <v>26</v>
      </c>
      <c r="K30" s="79">
        <v>47002.459999999977</v>
      </c>
      <c r="L30" s="38"/>
      <c r="M30" s="24"/>
      <c r="N30" s="63"/>
      <c r="O30" s="63"/>
      <c r="P30" s="63"/>
      <c r="Q30" s="63"/>
      <c r="R30" s="63"/>
      <c r="S30" s="63"/>
      <c r="T30" s="24"/>
      <c r="U30" s="73"/>
      <c r="V30" s="70"/>
      <c r="W30" s="70"/>
      <c r="X30" s="70"/>
      <c r="Y30" s="70"/>
      <c r="Z30" s="70"/>
      <c r="AA30" s="70"/>
      <c r="AB30" s="75"/>
      <c r="AC30" s="94"/>
      <c r="AD30" s="81"/>
      <c r="AE30" s="81"/>
      <c r="AF30" s="81"/>
      <c r="AG30" s="81"/>
      <c r="AH30" s="81"/>
    </row>
    <row r="31" spans="1:34" x14ac:dyDescent="0.3">
      <c r="A31" s="58"/>
      <c r="B31" s="96"/>
      <c r="C31" s="96"/>
      <c r="D31" s="96"/>
      <c r="E31" s="96"/>
      <c r="F31" s="96"/>
      <c r="G31" s="96"/>
      <c r="H31" s="96"/>
      <c r="I31" s="96"/>
      <c r="J31" s="26" t="s">
        <v>12</v>
      </c>
      <c r="K31" s="79">
        <v>41927.589999999982</v>
      </c>
      <c r="L31" s="38"/>
      <c r="M31" s="24"/>
      <c r="N31" s="63"/>
      <c r="O31" s="63"/>
      <c r="P31" s="63"/>
      <c r="Q31" s="63"/>
      <c r="R31" s="63"/>
      <c r="S31" s="63"/>
      <c r="T31" s="24"/>
      <c r="U31" s="73"/>
      <c r="V31" s="70"/>
      <c r="W31" s="70"/>
      <c r="X31" s="70"/>
      <c r="Y31" s="70"/>
      <c r="Z31" s="70"/>
      <c r="AA31" s="70"/>
      <c r="AB31" s="75"/>
      <c r="AC31" s="94"/>
      <c r="AD31" s="81"/>
      <c r="AE31" s="81"/>
      <c r="AF31" s="81"/>
      <c r="AG31" s="81"/>
      <c r="AH31" s="81"/>
    </row>
    <row r="32" spans="1:34" x14ac:dyDescent="0.3">
      <c r="A32" s="58"/>
      <c r="B32" s="96"/>
      <c r="C32" s="96"/>
      <c r="D32" s="96"/>
      <c r="E32" s="96"/>
      <c r="F32" s="96"/>
      <c r="G32" s="96"/>
      <c r="H32" s="96"/>
      <c r="I32" s="96"/>
      <c r="J32" s="26" t="s">
        <v>14</v>
      </c>
      <c r="K32" s="79">
        <v>41044</v>
      </c>
      <c r="L32" s="38"/>
      <c r="M32" s="24"/>
      <c r="N32" s="63"/>
      <c r="O32" s="63"/>
      <c r="P32" s="63"/>
      <c r="Q32" s="63"/>
      <c r="R32" s="63"/>
      <c r="S32" s="63"/>
      <c r="T32" s="24"/>
      <c r="U32" s="73"/>
      <c r="V32" s="70"/>
      <c r="W32" s="70"/>
      <c r="X32" s="70"/>
      <c r="Y32" s="70"/>
      <c r="Z32" s="70"/>
      <c r="AA32" s="70"/>
      <c r="AB32" s="75"/>
      <c r="AC32" s="94"/>
      <c r="AD32" s="81"/>
      <c r="AE32" s="81"/>
      <c r="AF32" s="81"/>
      <c r="AG32" s="81"/>
      <c r="AH32" s="81"/>
    </row>
    <row r="33" spans="1:34" x14ac:dyDescent="0.3">
      <c r="A33" s="58"/>
      <c r="B33" s="96"/>
      <c r="C33" s="96"/>
      <c r="D33" s="96"/>
      <c r="E33" s="96"/>
      <c r="F33" s="96"/>
      <c r="G33" s="96"/>
      <c r="H33" s="96"/>
      <c r="I33" s="96"/>
      <c r="J33" s="26" t="s">
        <v>41</v>
      </c>
      <c r="K33" s="79">
        <v>36612.890000000007</v>
      </c>
      <c r="L33" s="38"/>
      <c r="M33" s="24"/>
      <c r="N33" s="63"/>
      <c r="O33" s="63"/>
      <c r="P33" s="63"/>
      <c r="Q33" s="63"/>
      <c r="R33" s="63"/>
      <c r="S33" s="63"/>
      <c r="T33" s="24"/>
      <c r="U33" s="73"/>
      <c r="V33" s="70"/>
      <c r="W33" s="70"/>
      <c r="X33" s="70"/>
      <c r="Y33" s="70"/>
      <c r="Z33" s="70"/>
      <c r="AA33" s="70"/>
      <c r="AB33" s="75"/>
      <c r="AC33" s="94"/>
      <c r="AD33" s="81"/>
      <c r="AE33" s="81"/>
      <c r="AF33" s="81"/>
      <c r="AG33" s="81"/>
      <c r="AH33" s="81"/>
    </row>
    <row r="34" spans="1:34" x14ac:dyDescent="0.3">
      <c r="A34" s="58"/>
      <c r="B34" s="96"/>
      <c r="C34" s="96"/>
      <c r="D34" s="96"/>
      <c r="E34" s="96"/>
      <c r="F34" s="96"/>
      <c r="G34" s="96"/>
      <c r="H34" s="96"/>
      <c r="I34" s="96"/>
      <c r="J34" s="26" t="s">
        <v>20</v>
      </c>
      <c r="K34" s="79">
        <v>28630.819999999992</v>
      </c>
      <c r="L34" s="38"/>
      <c r="M34" s="24"/>
      <c r="N34" s="63"/>
      <c r="O34" s="63"/>
      <c r="P34" s="63"/>
      <c r="Q34" s="63"/>
      <c r="R34" s="63"/>
      <c r="S34" s="63"/>
      <c r="T34" s="24"/>
      <c r="U34" s="73"/>
      <c r="V34" s="70"/>
      <c r="W34" s="70"/>
      <c r="X34" s="70"/>
      <c r="Y34" s="70"/>
      <c r="Z34" s="70"/>
      <c r="AA34" s="70"/>
      <c r="AB34" s="75"/>
      <c r="AC34" s="94"/>
      <c r="AD34" s="81"/>
      <c r="AE34" s="81"/>
      <c r="AF34" s="81"/>
      <c r="AG34" s="81"/>
      <c r="AH34" s="81"/>
    </row>
    <row r="35" spans="1:34" x14ac:dyDescent="0.3">
      <c r="A35" s="58"/>
      <c r="B35" s="96"/>
      <c r="C35" s="96"/>
      <c r="D35" s="96"/>
      <c r="E35" s="96"/>
      <c r="F35" s="96"/>
      <c r="G35" s="96"/>
      <c r="H35" s="96"/>
      <c r="I35" s="96"/>
      <c r="J35" s="26" t="s">
        <v>124</v>
      </c>
      <c r="K35" s="79">
        <v>195217.75999999995</v>
      </c>
      <c r="L35" s="38"/>
      <c r="M35" s="24"/>
      <c r="N35" s="63"/>
      <c r="O35" s="63"/>
      <c r="P35" s="63"/>
      <c r="Q35" s="63"/>
      <c r="R35" s="63"/>
      <c r="S35" s="63"/>
      <c r="T35" s="24"/>
      <c r="U35" s="73"/>
      <c r="V35" s="70"/>
      <c r="W35" s="70"/>
      <c r="X35" s="70"/>
      <c r="Y35" s="70"/>
      <c r="Z35" s="70"/>
      <c r="AA35" s="70"/>
      <c r="AB35" s="75"/>
      <c r="AC35" s="94"/>
      <c r="AD35" s="81"/>
      <c r="AE35" s="81"/>
      <c r="AF35" s="81"/>
      <c r="AG35" s="81"/>
      <c r="AH35" s="81"/>
    </row>
    <row r="36" spans="1:34" x14ac:dyDescent="0.3">
      <c r="A36" s="58"/>
      <c r="B36" s="96"/>
      <c r="C36" s="96"/>
      <c r="D36" s="96"/>
      <c r="E36" s="96"/>
      <c r="F36" s="96"/>
      <c r="G36" s="96"/>
      <c r="H36" s="96"/>
      <c r="I36" s="96"/>
      <c r="J36" s="39"/>
      <c r="K36" s="39"/>
      <c r="L36" s="40"/>
      <c r="M36" s="33"/>
      <c r="N36" s="63"/>
      <c r="O36" s="63"/>
      <c r="P36" s="63"/>
      <c r="Q36" s="63"/>
      <c r="R36" s="63"/>
      <c r="S36" s="63"/>
      <c r="T36" s="24"/>
      <c r="U36" s="73"/>
      <c r="V36" s="70"/>
      <c r="W36" s="70"/>
      <c r="X36" s="70"/>
      <c r="Y36" s="70"/>
      <c r="Z36" s="70"/>
      <c r="AA36" s="70"/>
      <c r="AB36" s="75"/>
      <c r="AC36" s="94"/>
      <c r="AD36" s="81"/>
      <c r="AE36" s="81"/>
      <c r="AF36" s="81"/>
      <c r="AG36" s="81"/>
      <c r="AH36" s="81"/>
    </row>
    <row r="37" spans="1:34" x14ac:dyDescent="0.3">
      <c r="A37" s="58"/>
      <c r="B37" s="96"/>
      <c r="C37" s="96"/>
      <c r="D37" s="96"/>
      <c r="E37" s="96"/>
      <c r="F37" s="96"/>
      <c r="G37" s="96"/>
      <c r="H37" s="96"/>
      <c r="I37" s="59"/>
      <c r="J37" s="24"/>
      <c r="K37" s="24"/>
      <c r="L37" s="24"/>
      <c r="M37" s="24"/>
      <c r="N37" s="63"/>
      <c r="O37" s="63"/>
      <c r="P37" s="63"/>
      <c r="Q37" s="63"/>
      <c r="R37" s="63"/>
      <c r="S37" s="63"/>
      <c r="T37" s="24"/>
      <c r="U37" s="73"/>
      <c r="V37" s="70"/>
      <c r="W37" s="70"/>
      <c r="X37" s="70"/>
      <c r="Y37" s="70"/>
      <c r="Z37" s="70"/>
      <c r="AA37" s="70"/>
      <c r="AB37" s="75"/>
      <c r="AC37" s="94"/>
      <c r="AD37" s="81"/>
      <c r="AE37" s="81"/>
      <c r="AF37" s="81"/>
      <c r="AG37" s="81"/>
      <c r="AH37" s="81"/>
    </row>
    <row r="38" spans="1:34" x14ac:dyDescent="0.3">
      <c r="A38" s="58"/>
      <c r="B38" s="96"/>
      <c r="C38" s="96"/>
      <c r="D38" s="96"/>
      <c r="E38" s="96"/>
      <c r="F38" s="96"/>
      <c r="G38" s="96"/>
      <c r="H38" s="96"/>
      <c r="I38" s="59"/>
      <c r="J38" s="24"/>
      <c r="K38" s="24"/>
      <c r="L38" s="24"/>
      <c r="M38" s="24"/>
      <c r="N38" s="63"/>
      <c r="O38" s="63"/>
      <c r="P38" s="63"/>
      <c r="Q38" s="63"/>
      <c r="R38" s="63"/>
      <c r="S38" s="63"/>
      <c r="T38" s="24"/>
      <c r="U38" s="73"/>
      <c r="V38" s="70"/>
      <c r="W38" s="70"/>
      <c r="X38" s="70"/>
      <c r="Y38" s="70"/>
      <c r="Z38" s="70"/>
      <c r="AA38" s="70"/>
      <c r="AB38" s="75"/>
      <c r="AC38" s="94"/>
      <c r="AD38" s="81"/>
      <c r="AE38" s="81"/>
      <c r="AF38" s="81"/>
      <c r="AG38" s="81"/>
      <c r="AH38" s="81"/>
    </row>
    <row r="39" spans="1:34" x14ac:dyDescent="0.3">
      <c r="A39" s="60"/>
      <c r="B39" s="61"/>
      <c r="C39" s="61"/>
      <c r="D39" s="61"/>
      <c r="E39" s="61"/>
      <c r="F39" s="61"/>
      <c r="G39" s="61"/>
      <c r="H39" s="61"/>
      <c r="I39" s="62"/>
      <c r="J39" s="24"/>
      <c r="K39" s="24"/>
      <c r="L39" s="24"/>
      <c r="M39" s="24"/>
      <c r="N39" s="63"/>
      <c r="O39" s="63"/>
      <c r="P39" s="63"/>
      <c r="Q39" s="63"/>
      <c r="R39" s="63"/>
      <c r="S39" s="63"/>
      <c r="T39" s="24"/>
      <c r="U39" s="76"/>
      <c r="V39" s="77"/>
      <c r="W39" s="77"/>
      <c r="X39" s="77"/>
      <c r="Y39" s="77"/>
      <c r="Z39" s="77"/>
      <c r="AA39" s="77"/>
      <c r="AB39" s="78"/>
      <c r="AC39" s="94"/>
      <c r="AD39" s="81"/>
      <c r="AE39" s="81"/>
      <c r="AF39" s="81"/>
      <c r="AG39" s="81"/>
      <c r="AH39" s="81"/>
    </row>
    <row r="40" spans="1:34" x14ac:dyDescent="0.3">
      <c r="A40" s="35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94"/>
      <c r="AD40" s="81"/>
      <c r="AE40" s="81"/>
      <c r="AF40" s="81"/>
      <c r="AG40" s="81"/>
      <c r="AH40" s="81"/>
    </row>
    <row r="41" spans="1:34" x14ac:dyDescent="0.3">
      <c r="A41" s="33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94"/>
      <c r="AD41" s="81"/>
      <c r="AE41" s="81"/>
      <c r="AF41" s="81"/>
      <c r="AG41" s="81"/>
      <c r="AH41" s="81"/>
    </row>
    <row r="42" spans="1:34" x14ac:dyDescent="0.3">
      <c r="A42" s="3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94"/>
      <c r="AD42" s="81"/>
      <c r="AE42" s="81"/>
      <c r="AF42" s="81"/>
      <c r="AG42" s="81"/>
      <c r="AH42" s="81"/>
    </row>
    <row r="43" spans="1:34" x14ac:dyDescent="0.3">
      <c r="A43" s="33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94"/>
      <c r="AD43" s="81"/>
      <c r="AE43" s="81"/>
      <c r="AF43" s="81"/>
      <c r="AG43" s="81"/>
      <c r="AH43" s="81"/>
    </row>
    <row r="44" spans="1:34" x14ac:dyDescent="0.3">
      <c r="A44" s="33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94"/>
      <c r="AD44" s="81"/>
      <c r="AE44" s="81"/>
      <c r="AF44" s="81"/>
      <c r="AG44" s="81"/>
      <c r="AH44" s="81"/>
    </row>
    <row r="45" spans="1:34" ht="15" thickBot="1" x14ac:dyDescent="0.35">
      <c r="A45" s="33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94"/>
      <c r="AD45" s="81"/>
      <c r="AE45" s="81"/>
      <c r="AF45" s="81"/>
      <c r="AG45" s="81"/>
      <c r="AH45" s="81"/>
    </row>
    <row r="46" spans="1:34" x14ac:dyDescent="0.3">
      <c r="A46" s="99"/>
      <c r="B46" s="100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1"/>
      <c r="AD46" s="81"/>
      <c r="AE46" s="81"/>
      <c r="AF46" s="81"/>
      <c r="AG46" s="81"/>
      <c r="AH46" s="81"/>
    </row>
    <row r="47" spans="1:34" x14ac:dyDescent="0.3">
      <c r="A47" s="10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103"/>
      <c r="AD47" s="81"/>
      <c r="AE47" s="81"/>
      <c r="AF47" s="81"/>
      <c r="AG47" s="81"/>
      <c r="AH47" s="81"/>
    </row>
    <row r="48" spans="1:34" x14ac:dyDescent="0.3">
      <c r="A48" s="10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2"/>
      <c r="P48" s="82"/>
      <c r="Q48" s="82"/>
      <c r="R48" s="82"/>
      <c r="S48" s="82"/>
      <c r="T48" s="82"/>
      <c r="U48" s="82"/>
      <c r="V48" s="82"/>
      <c r="W48" s="82"/>
      <c r="X48" s="82"/>
      <c r="Y48" s="82"/>
      <c r="Z48" s="82"/>
      <c r="AA48" s="82"/>
      <c r="AB48" s="82"/>
      <c r="AC48" s="103"/>
      <c r="AD48" s="81"/>
      <c r="AE48" s="81"/>
      <c r="AF48" s="81"/>
      <c r="AG48" s="81"/>
      <c r="AH48" s="81"/>
    </row>
    <row r="49" spans="1:34" x14ac:dyDescent="0.3">
      <c r="A49" s="10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2"/>
      <c r="P49" s="82"/>
      <c r="Q49" s="82"/>
      <c r="R49" s="82"/>
      <c r="S49" s="82"/>
      <c r="T49" s="82"/>
      <c r="U49" s="82"/>
      <c r="V49" s="82"/>
      <c r="W49" s="82"/>
      <c r="X49" s="82"/>
      <c r="Y49" s="82"/>
      <c r="Z49" s="82"/>
      <c r="AA49" s="82"/>
      <c r="AB49" s="82"/>
      <c r="AC49" s="103"/>
      <c r="AD49" s="81"/>
      <c r="AE49" s="81"/>
      <c r="AF49" s="81"/>
      <c r="AG49" s="81"/>
      <c r="AH49" s="81"/>
    </row>
    <row r="50" spans="1:34" ht="15" thickBot="1" x14ac:dyDescent="0.35">
      <c r="A50" s="104"/>
      <c r="B50" s="98"/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105"/>
      <c r="AD50" s="81"/>
      <c r="AE50" s="81"/>
      <c r="AF50" s="81"/>
      <c r="AG50" s="81"/>
      <c r="AH50" s="81"/>
    </row>
    <row r="51" spans="1:34" x14ac:dyDescent="0.3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</row>
    <row r="52" spans="1:34" x14ac:dyDescent="0.3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</row>
    <row r="53" spans="1:34" x14ac:dyDescent="0.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</row>
    <row r="54" spans="1:34" x14ac:dyDescent="0.3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</row>
    <row r="55" spans="1:34" x14ac:dyDescent="0.3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</row>
    <row r="56" spans="1:34" x14ac:dyDescent="0.3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</row>
    <row r="57" spans="1:34" x14ac:dyDescent="0.3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</row>
    <row r="58" spans="1:34" x14ac:dyDescent="0.3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</row>
    <row r="59" spans="1:34" x14ac:dyDescent="0.3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</row>
    <row r="60" spans="1:34" x14ac:dyDescent="0.3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</row>
    <row r="61" spans="1:34" x14ac:dyDescent="0.3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</row>
    <row r="62" spans="1:34" x14ac:dyDescent="0.3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</row>
    <row r="63" spans="1:34" x14ac:dyDescent="0.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</row>
    <row r="64" spans="1:34" x14ac:dyDescent="0.3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</row>
    <row r="65" spans="1:34" x14ac:dyDescent="0.3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</row>
    <row r="66" spans="1:34" x14ac:dyDescent="0.3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</row>
    <row r="67" spans="1:34" x14ac:dyDescent="0.3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</row>
    <row r="68" spans="1:34" x14ac:dyDescent="0.3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</row>
    <row r="69" spans="1:34" x14ac:dyDescent="0.3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</row>
    <row r="70" spans="1:34" x14ac:dyDescent="0.3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</row>
    <row r="71" spans="1:34" x14ac:dyDescent="0.3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</row>
    <row r="72" spans="1:34" x14ac:dyDescent="0.3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</row>
    <row r="73" spans="1:34" x14ac:dyDescent="0.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</row>
    <row r="74" spans="1:34" x14ac:dyDescent="0.3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</row>
    <row r="75" spans="1:34" x14ac:dyDescent="0.3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</row>
    <row r="76" spans="1:34" x14ac:dyDescent="0.3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</row>
    <row r="77" spans="1:34" x14ac:dyDescent="0.3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</row>
    <row r="78" spans="1:34" x14ac:dyDescent="0.3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</row>
    <row r="79" spans="1:34" x14ac:dyDescent="0.3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</row>
    <row r="80" spans="1:34" x14ac:dyDescent="0.3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</row>
    <row r="81" spans="1:34" x14ac:dyDescent="0.3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</row>
    <row r="82" spans="1:34" x14ac:dyDescent="0.3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</row>
    <row r="83" spans="1:34" x14ac:dyDescent="0.3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</row>
    <row r="84" spans="1:34" x14ac:dyDescent="0.3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</row>
    <row r="85" spans="1:34" x14ac:dyDescent="0.3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</row>
    <row r="86" spans="1:34" x14ac:dyDescent="0.3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</row>
    <row r="87" spans="1:34" x14ac:dyDescent="0.3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</row>
    <row r="88" spans="1:34" x14ac:dyDescent="0.3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</row>
    <row r="89" spans="1:34" x14ac:dyDescent="0.3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</row>
    <row r="90" spans="1:34" x14ac:dyDescent="0.3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</row>
    <row r="91" spans="1:34" x14ac:dyDescent="0.3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</row>
    <row r="92" spans="1:34" x14ac:dyDescent="0.3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</row>
    <row r="93" spans="1:34" x14ac:dyDescent="0.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</row>
    <row r="94" spans="1:34" x14ac:dyDescent="0.3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</row>
    <row r="95" spans="1:34" x14ac:dyDescent="0.3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</row>
    <row r="96" spans="1:34" x14ac:dyDescent="0.3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</row>
    <row r="97" spans="1:34" x14ac:dyDescent="0.3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</row>
    <row r="98" spans="1:34" x14ac:dyDescent="0.3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</row>
    <row r="99" spans="1:34" x14ac:dyDescent="0.3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</row>
    <row r="100" spans="1:34" x14ac:dyDescent="0.3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</row>
    <row r="101" spans="1:34" x14ac:dyDescent="0.3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</row>
    <row r="102" spans="1:34" x14ac:dyDescent="0.3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</row>
    <row r="103" spans="1:34" x14ac:dyDescent="0.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</row>
    <row r="104" spans="1:34" x14ac:dyDescent="0.3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</row>
    <row r="105" spans="1:34" x14ac:dyDescent="0.3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</row>
    <row r="106" spans="1:34" x14ac:dyDescent="0.3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</row>
    <row r="107" spans="1:34" x14ac:dyDescent="0.3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</row>
    <row r="108" spans="1:34" x14ac:dyDescent="0.3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</row>
    <row r="109" spans="1:34" x14ac:dyDescent="0.3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</row>
    <row r="110" spans="1:34" x14ac:dyDescent="0.3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</row>
    <row r="111" spans="1:34" x14ac:dyDescent="0.3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</row>
    <row r="112" spans="1:34" x14ac:dyDescent="0.3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</row>
    <row r="113" spans="1:34" x14ac:dyDescent="0.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</row>
    <row r="114" spans="1:34" x14ac:dyDescent="0.3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</row>
    <row r="115" spans="1:34" x14ac:dyDescent="0.3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</row>
    <row r="116" spans="1:34" x14ac:dyDescent="0.3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</row>
    <row r="117" spans="1:34" x14ac:dyDescent="0.3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</row>
    <row r="118" spans="1:34" x14ac:dyDescent="0.3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</row>
    <row r="119" spans="1:34" x14ac:dyDescent="0.3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</row>
    <row r="120" spans="1:34" x14ac:dyDescent="0.3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</row>
    <row r="121" spans="1:34" x14ac:dyDescent="0.3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</row>
    <row r="122" spans="1:34" x14ac:dyDescent="0.3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</row>
    <row r="123" spans="1:34" x14ac:dyDescent="0.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</row>
    <row r="124" spans="1:34" x14ac:dyDescent="0.3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</row>
    <row r="125" spans="1:34" x14ac:dyDescent="0.3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</row>
    <row r="126" spans="1:34" x14ac:dyDescent="0.3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</row>
    <row r="127" spans="1:34" x14ac:dyDescent="0.3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</row>
    <row r="128" spans="1:34" x14ac:dyDescent="0.3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</row>
    <row r="129" spans="1:34" x14ac:dyDescent="0.3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</row>
    <row r="130" spans="1:34" x14ac:dyDescent="0.3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</row>
    <row r="131" spans="1:34" x14ac:dyDescent="0.3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</row>
    <row r="132" spans="1:34" x14ac:dyDescent="0.3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</row>
    <row r="133" spans="1:34" x14ac:dyDescent="0.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</row>
    <row r="134" spans="1:34" x14ac:dyDescent="0.3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</row>
    <row r="135" spans="1:34" x14ac:dyDescent="0.3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</row>
    <row r="136" spans="1:34" x14ac:dyDescent="0.3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</row>
    <row r="137" spans="1:34" x14ac:dyDescent="0.3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</row>
    <row r="138" spans="1:34" x14ac:dyDescent="0.3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</row>
    <row r="139" spans="1:34" x14ac:dyDescent="0.3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</row>
    <row r="140" spans="1:34" x14ac:dyDescent="0.3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</row>
    <row r="141" spans="1:34" x14ac:dyDescent="0.3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</row>
    <row r="142" spans="1:34" x14ac:dyDescent="0.3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</row>
    <row r="143" spans="1:34" x14ac:dyDescent="0.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</row>
    <row r="144" spans="1:34" x14ac:dyDescent="0.3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</row>
    <row r="145" spans="1:34" x14ac:dyDescent="0.3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</row>
    <row r="146" spans="1:34" x14ac:dyDescent="0.3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</row>
    <row r="147" spans="1:34" x14ac:dyDescent="0.3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</row>
    <row r="148" spans="1:34" x14ac:dyDescent="0.3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</row>
    <row r="149" spans="1:34" x14ac:dyDescent="0.3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</row>
    <row r="150" spans="1:34" x14ac:dyDescent="0.3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</row>
    <row r="151" spans="1:34" x14ac:dyDescent="0.3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</row>
    <row r="152" spans="1:34" x14ac:dyDescent="0.3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</row>
    <row r="153" spans="1:34" x14ac:dyDescent="0.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</row>
    <row r="154" spans="1:34" x14ac:dyDescent="0.3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</row>
    <row r="155" spans="1:34" x14ac:dyDescent="0.3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</row>
    <row r="156" spans="1:34" x14ac:dyDescent="0.3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</row>
    <row r="157" spans="1:34" x14ac:dyDescent="0.3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</row>
    <row r="158" spans="1:34" x14ac:dyDescent="0.3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</row>
    <row r="159" spans="1:34" x14ac:dyDescent="0.3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</row>
    <row r="160" spans="1:34" x14ac:dyDescent="0.3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</row>
    <row r="161" spans="1:34" x14ac:dyDescent="0.3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</row>
    <row r="162" spans="1:34" x14ac:dyDescent="0.3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</row>
    <row r="163" spans="1:34" x14ac:dyDescent="0.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</row>
    <row r="164" spans="1:34" x14ac:dyDescent="0.3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</row>
    <row r="165" spans="1:34" x14ac:dyDescent="0.3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</row>
    <row r="166" spans="1:34" x14ac:dyDescent="0.3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</row>
    <row r="167" spans="1:34" x14ac:dyDescent="0.3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</row>
    <row r="168" spans="1:34" x14ac:dyDescent="0.3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</row>
    <row r="169" spans="1:34" x14ac:dyDescent="0.3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</row>
    <row r="170" spans="1:34" x14ac:dyDescent="0.3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</row>
    <row r="171" spans="1:34" x14ac:dyDescent="0.3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</row>
    <row r="172" spans="1:34" x14ac:dyDescent="0.3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</row>
    <row r="173" spans="1:34" x14ac:dyDescent="0.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</row>
    <row r="174" spans="1:34" x14ac:dyDescent="0.3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</row>
    <row r="175" spans="1:34" x14ac:dyDescent="0.3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</row>
    <row r="176" spans="1:34" x14ac:dyDescent="0.3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</row>
    <row r="177" spans="1:34" x14ac:dyDescent="0.3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</row>
    <row r="178" spans="1:34" x14ac:dyDescent="0.3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</row>
    <row r="179" spans="1:34" x14ac:dyDescent="0.3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</row>
    <row r="180" spans="1:34" x14ac:dyDescent="0.3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</row>
    <row r="181" spans="1:34" x14ac:dyDescent="0.3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</row>
    <row r="182" spans="1:34" x14ac:dyDescent="0.3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</row>
    <row r="183" spans="1:34" x14ac:dyDescent="0.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</row>
    <row r="184" spans="1:34" x14ac:dyDescent="0.3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</row>
    <row r="185" spans="1:34" x14ac:dyDescent="0.3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</row>
    <row r="186" spans="1:34" x14ac:dyDescent="0.3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</row>
    <row r="187" spans="1:34" x14ac:dyDescent="0.3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</row>
    <row r="188" spans="1:34" x14ac:dyDescent="0.3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</row>
    <row r="189" spans="1:34" x14ac:dyDescent="0.3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</row>
    <row r="190" spans="1:34" x14ac:dyDescent="0.3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</row>
    <row r="191" spans="1:34" x14ac:dyDescent="0.3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</row>
    <row r="192" spans="1:34" x14ac:dyDescent="0.3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</row>
    <row r="193" spans="1:34" x14ac:dyDescent="0.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</row>
    <row r="194" spans="1:34" x14ac:dyDescent="0.3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</row>
    <row r="195" spans="1:34" x14ac:dyDescent="0.3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</row>
    <row r="196" spans="1:34" x14ac:dyDescent="0.3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</row>
    <row r="197" spans="1:34" x14ac:dyDescent="0.3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</row>
    <row r="198" spans="1:34" x14ac:dyDescent="0.3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</row>
    <row r="199" spans="1:34" x14ac:dyDescent="0.3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</row>
    <row r="200" spans="1:34" x14ac:dyDescent="0.3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</row>
    <row r="201" spans="1:34" x14ac:dyDescent="0.3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</row>
    <row r="202" spans="1:34" x14ac:dyDescent="0.3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</row>
    <row r="203" spans="1:34" x14ac:dyDescent="0.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</row>
    <row r="204" spans="1:34" x14ac:dyDescent="0.3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</row>
    <row r="205" spans="1:34" x14ac:dyDescent="0.3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</row>
    <row r="206" spans="1:34" x14ac:dyDescent="0.3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</row>
    <row r="207" spans="1:34" x14ac:dyDescent="0.3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</row>
    <row r="208" spans="1:34" x14ac:dyDescent="0.3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</row>
    <row r="209" spans="1:34" x14ac:dyDescent="0.3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</row>
    <row r="210" spans="1:34" x14ac:dyDescent="0.3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</row>
    <row r="211" spans="1:34" x14ac:dyDescent="0.3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</row>
    <row r="212" spans="1:34" x14ac:dyDescent="0.3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</row>
    <row r="213" spans="1:34" x14ac:dyDescent="0.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</row>
    <row r="214" spans="1:34" x14ac:dyDescent="0.3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</row>
    <row r="215" spans="1:34" x14ac:dyDescent="0.3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</row>
    <row r="216" spans="1:34" x14ac:dyDescent="0.3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</row>
    <row r="217" spans="1:34" x14ac:dyDescent="0.3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</row>
    <row r="218" spans="1:34" x14ac:dyDescent="0.3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</row>
    <row r="219" spans="1:34" x14ac:dyDescent="0.3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</row>
    <row r="220" spans="1:34" x14ac:dyDescent="0.3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</row>
    <row r="221" spans="1:34" x14ac:dyDescent="0.3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</row>
    <row r="222" spans="1:34" x14ac:dyDescent="0.3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</row>
    <row r="223" spans="1:34" x14ac:dyDescent="0.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</row>
    <row r="224" spans="1:34" x14ac:dyDescent="0.3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</row>
    <row r="225" spans="1:34" x14ac:dyDescent="0.3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</row>
    <row r="226" spans="1:34" x14ac:dyDescent="0.3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</row>
    <row r="227" spans="1:34" x14ac:dyDescent="0.3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</row>
    <row r="228" spans="1:34" x14ac:dyDescent="0.3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</row>
    <row r="229" spans="1:34" x14ac:dyDescent="0.3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</row>
    <row r="230" spans="1:34" x14ac:dyDescent="0.3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</row>
    <row r="231" spans="1:34" x14ac:dyDescent="0.3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</row>
    <row r="232" spans="1:34" x14ac:dyDescent="0.3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</row>
    <row r="233" spans="1:34" x14ac:dyDescent="0.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</row>
    <row r="234" spans="1:34" x14ac:dyDescent="0.3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</row>
    <row r="235" spans="1:34" x14ac:dyDescent="0.3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</row>
    <row r="236" spans="1:34" x14ac:dyDescent="0.3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</row>
    <row r="237" spans="1:34" x14ac:dyDescent="0.3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</row>
    <row r="238" spans="1:34" x14ac:dyDescent="0.3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</row>
    <row r="239" spans="1:34" x14ac:dyDescent="0.3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</row>
    <row r="240" spans="1:34" x14ac:dyDescent="0.3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</row>
    <row r="241" spans="1:34" x14ac:dyDescent="0.3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</row>
    <row r="242" spans="1:34" x14ac:dyDescent="0.3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</row>
    <row r="243" spans="1:34" x14ac:dyDescent="0.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</row>
    <row r="244" spans="1:34" x14ac:dyDescent="0.3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</row>
    <row r="245" spans="1:34" x14ac:dyDescent="0.3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</row>
    <row r="246" spans="1:34" x14ac:dyDescent="0.3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</row>
    <row r="247" spans="1:34" x14ac:dyDescent="0.3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</row>
    <row r="248" spans="1:34" x14ac:dyDescent="0.3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</row>
    <row r="249" spans="1:34" x14ac:dyDescent="0.3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</row>
    <row r="250" spans="1:34" x14ac:dyDescent="0.3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</row>
    <row r="251" spans="1:34" x14ac:dyDescent="0.3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</row>
    <row r="252" spans="1:34" x14ac:dyDescent="0.3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</row>
    <row r="253" spans="1:34" x14ac:dyDescent="0.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</row>
    <row r="254" spans="1:34" x14ac:dyDescent="0.3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</row>
    <row r="255" spans="1:34" x14ac:dyDescent="0.3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</row>
    <row r="256" spans="1:34" x14ac:dyDescent="0.3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</row>
    <row r="257" spans="1:34" x14ac:dyDescent="0.3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</row>
    <row r="258" spans="1:34" x14ac:dyDescent="0.3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</row>
    <row r="259" spans="1:34" x14ac:dyDescent="0.3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</row>
    <row r="260" spans="1:34" x14ac:dyDescent="0.3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</row>
    <row r="261" spans="1:34" x14ac:dyDescent="0.3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</row>
    <row r="262" spans="1:34" x14ac:dyDescent="0.3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</row>
    <row r="263" spans="1:34" x14ac:dyDescent="0.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</row>
    <row r="264" spans="1:34" x14ac:dyDescent="0.3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</row>
    <row r="265" spans="1:34" x14ac:dyDescent="0.3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</row>
    <row r="266" spans="1:34" x14ac:dyDescent="0.3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</row>
    <row r="267" spans="1:34" x14ac:dyDescent="0.3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</row>
    <row r="268" spans="1:34" x14ac:dyDescent="0.3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</row>
    <row r="269" spans="1:34" x14ac:dyDescent="0.3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</row>
    <row r="270" spans="1:34" x14ac:dyDescent="0.3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</row>
    <row r="271" spans="1:34" x14ac:dyDescent="0.3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</row>
    <row r="272" spans="1:34" x14ac:dyDescent="0.3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</row>
    <row r="273" spans="1:34" x14ac:dyDescent="0.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</row>
    <row r="274" spans="1:34" x14ac:dyDescent="0.3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</row>
    <row r="275" spans="1:34" x14ac:dyDescent="0.3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</row>
    <row r="276" spans="1:34" x14ac:dyDescent="0.3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</row>
    <row r="277" spans="1:34" x14ac:dyDescent="0.3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</row>
    <row r="278" spans="1:34" x14ac:dyDescent="0.3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</row>
    <row r="279" spans="1:34" x14ac:dyDescent="0.3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</row>
    <row r="280" spans="1:34" x14ac:dyDescent="0.3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</row>
    <row r="281" spans="1:34" x14ac:dyDescent="0.3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</row>
    <row r="282" spans="1:34" x14ac:dyDescent="0.3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</row>
    <row r="283" spans="1:34" x14ac:dyDescent="0.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</row>
    <row r="284" spans="1:34" x14ac:dyDescent="0.3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</row>
    <row r="285" spans="1:34" x14ac:dyDescent="0.3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</row>
    <row r="286" spans="1:34" x14ac:dyDescent="0.3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</row>
    <row r="287" spans="1:34" x14ac:dyDescent="0.3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</row>
    <row r="288" spans="1:34" x14ac:dyDescent="0.3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</row>
    <row r="289" spans="1:34" x14ac:dyDescent="0.3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</row>
    <row r="290" spans="1:34" x14ac:dyDescent="0.3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</row>
    <row r="291" spans="1:34" x14ac:dyDescent="0.3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</row>
    <row r="292" spans="1:34" x14ac:dyDescent="0.3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</row>
    <row r="293" spans="1:34" x14ac:dyDescent="0.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</row>
    <row r="294" spans="1:34" x14ac:dyDescent="0.3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</row>
    <row r="295" spans="1:34" x14ac:dyDescent="0.3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</row>
    <row r="296" spans="1:34" x14ac:dyDescent="0.3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</row>
    <row r="297" spans="1:34" x14ac:dyDescent="0.3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</row>
    <row r="298" spans="1:34" x14ac:dyDescent="0.3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</row>
    <row r="299" spans="1:34" x14ac:dyDescent="0.3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</row>
    <row r="300" spans="1:34" x14ac:dyDescent="0.3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</row>
  </sheetData>
  <mergeCells count="5">
    <mergeCell ref="A46:AC50"/>
    <mergeCell ref="A25:I39"/>
    <mergeCell ref="N23:S39"/>
    <mergeCell ref="A7:I21"/>
    <mergeCell ref="A1:AC5"/>
  </mergeCells>
  <pageMargins left="0.7" right="0.7" top="0.75" bottom="0.75" header="0.3" footer="0.3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2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Herit Tanna</dc:creator>
  <cp:lastModifiedBy>Herit Tanna</cp:lastModifiedBy>
  <dcterms:created xsi:type="dcterms:W3CDTF">2025-11-23T11:44:45Z</dcterms:created>
  <dcterms:modified xsi:type="dcterms:W3CDTF">2025-11-24T13:39:37Z</dcterms:modified>
</cp:coreProperties>
</file>