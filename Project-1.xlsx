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Desktop\"/>
    </mc:Choice>
  </mc:AlternateContent>
  <xr:revisionPtr revIDLastSave="0" documentId="8_{9C41168A-4F24-4BA1-BC34-07B6DA4F6A7B}" xr6:coauthVersionLast="47" xr6:coauthVersionMax="47" xr10:uidLastSave="{00000000-0000-0000-0000-000000000000}"/>
  <bookViews>
    <workbookView xWindow="-108" yWindow="-108" windowWidth="23256" windowHeight="12456" xr2:uid="{1C0B0F2F-3CBC-4FA3-8C24-0770126E0CB0}"/>
  </bookViews>
  <sheets>
    <sheet name="Students Grade" sheetId="1" r:id="rId1"/>
    <sheet name="Sales Data" sheetId="2" r:id="rId2"/>
    <sheet name="Employees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2" l="1"/>
  <c r="K11" i="1" a="1"/>
  <c r="K11" i="1" s="1"/>
  <c r="I24" i="2"/>
  <c r="H24" i="2"/>
  <c r="G24" i="2"/>
  <c r="G17" i="3"/>
  <c r="H13" i="3"/>
  <c r="L19" i="2" a="1"/>
  <c r="L19" i="2" s="1"/>
  <c r="H10" i="3"/>
  <c r="L16" i="2"/>
  <c r="G8" i="3"/>
  <c r="G7" i="3"/>
  <c r="G6" i="3"/>
  <c r="K14" i="2"/>
  <c r="K13" i="2"/>
  <c r="K12" i="2"/>
  <c r="H2" i="3"/>
  <c r="L9" i="2" a="1"/>
  <c r="L9" i="2" s="1"/>
  <c r="H15" i="2"/>
  <c r="L6" i="2"/>
  <c r="L8" i="1"/>
  <c r="K5" i="1"/>
  <c r="L3" i="2"/>
  <c r="K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H19" i="2"/>
  <c r="H20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G16" i="2"/>
  <c r="H16" i="2" s="1"/>
  <c r="G17" i="2"/>
  <c r="H17" i="2" s="1"/>
  <c r="G18" i="2"/>
  <c r="H18" i="2" s="1"/>
  <c r="G19" i="2"/>
  <c r="G20" i="2"/>
  <c r="G21" i="2"/>
  <c r="H21" i="2" s="1"/>
  <c r="G2" i="2"/>
  <c r="H2" i="2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" i="1"/>
  <c r="G2" i="1" s="1"/>
  <c r="L2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<sst xmlns="http://schemas.openxmlformats.org/spreadsheetml/2006/main" count="166" uniqueCount="113">
  <si>
    <t>Name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</si>
  <si>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</si>
  <si>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</si>
  <si>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</si>
  <si>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</si>
  <si>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</si>
  <si>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</si>
  <si>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</si>
  <si>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</si>
  <si>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</si>
  <si>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</si>
  <si>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</si>
  <si>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</si>
  <si>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</si>
  <si>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</si>
  <si>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</si>
  <si>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</si>
  <si>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</si>
  <si>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</si>
  <si>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</si>
  <si>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</si>
  <si>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</si>
  <si>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</si>
  <si>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</si>
  <si>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Id</t>
  </si>
  <si>
    <t>Maths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</si>
  <si>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</si>
  <si>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</si>
  <si>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</si>
  <si>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</si>
  <si>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</si>
  <si>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</si>
  <si>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</si>
  <si>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</si>
  <si>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</si>
  <si>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</si>
  <si>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</si>
  <si>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</si>
  <si>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</si>
  <si>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</si>
  <si>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</si>
  <si>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</si>
  <si>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</si>
  <si>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</si>
  <si>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</si>
  <si>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</si>
  <si>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</si>
  <si>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</si>
  <si>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</si>
  <si>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</si>
  <si>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</si>
  <si>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</si>
  <si>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</si>
  <si>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</si>
  <si>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</si>
  <si>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</si>
  <si>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</si>
  <si>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</si>
  <si>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</si>
  <si>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</si>
  <si>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</si>
  <si>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</si>
  <si>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</si>
  <si>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</si>
  <si>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</si>
  <si>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</si>
  <si>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</si>
  <si>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</si>
  <si>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</si>
  <si>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</si>
  <si>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</si>
  <si>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</si>
  <si>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</si>
  <si>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</si>
  <si>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</si>
  <si>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</si>
  <si>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</si>
  <si>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</si>
  <si>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</si>
  <si>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</si>
  <si>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</si>
  <si>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</si>
  <si>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</si>
  <si>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</si>
  <si>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</si>
  <si>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</si>
  <si>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</si>
  <si>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</si>
  <si>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</si>
  <si>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Average Marks</t>
  </si>
  <si>
    <t>Grade</t>
  </si>
  <si>
    <t>Discount %</t>
  </si>
  <si>
    <t>Final Amount</t>
  </si>
  <si>
    <t>High Score (&gt;80)</t>
  </si>
  <si>
    <t>Discount Eligible</t>
  </si>
  <si>
    <t>Count Math &gt; 50</t>
  </si>
  <si>
    <t>Sum Total Sales of particular region</t>
  </si>
  <si>
    <t>Total Sales :-</t>
  </si>
  <si>
    <t>Average Score &gt; 60</t>
  </si>
  <si>
    <t>VLOOKUP on student ID</t>
  </si>
  <si>
    <t>Retrieve product price based on id</t>
  </si>
  <si>
    <t>Value of sale from specific Salesperson</t>
  </si>
  <si>
    <t>Employee details without column restrictions</t>
  </si>
  <si>
    <t>Indirect function</t>
  </si>
  <si>
    <t>OFFSET Function</t>
  </si>
  <si>
    <t>Calculation of age by currect date and dob</t>
  </si>
  <si>
    <t>Difference Between Two dates</t>
  </si>
  <si>
    <t>Round()</t>
  </si>
  <si>
    <t>Ceiling()</t>
  </si>
  <si>
    <t>Floor()</t>
  </si>
  <si>
    <t>Filter list of top-performing student</t>
  </si>
  <si>
    <t>Sum Of Total Sales</t>
  </si>
  <si>
    <t>E2:E6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</si>
</sst>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A0C3F6"/>
        <bgColor indexed="64"/>
      </patternFill>
    </fill>
    <fill>
      <patternFill patternType="solid">
        <fgColor rgb="FFBDE3F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B57D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14" fontId="0" fillId="0" borderId="0" xfId="0" applyNumberFormat="1"/>
    <xf numFmtId="14" fontId="0" fillId="0" borderId="10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2" fontId="0" fillId="0" borderId="27" xfId="0" applyNumberForma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22" fontId="0" fillId="0" borderId="29" xfId="0" applyNumberForma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2" fontId="0" fillId="0" borderId="14" xfId="0" applyNumberForma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9" fontId="0" fillId="0" borderId="24" xfId="0" applyNumberForma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/>
    <xf numFmtId="0" fontId="0" fillId="4" borderId="9" xfId="0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1" xfId="0" applyFont="1" applyFill="1" applyBorder="1"/>
    <xf numFmtId="164" fontId="0" fillId="4" borderId="1" xfId="0" applyNumberFormat="1" applyFill="1" applyBorder="1"/>
    <xf numFmtId="0" fontId="1" fillId="5" borderId="1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0" fillId="6" borderId="1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 wrapText="1"/>
    </xf>
    <xf numFmtId="14" fontId="0" fillId="0" borderId="29" xfId="0" applyNumberForma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BDE3FB"/>
      <color rgb="FFE3B57D"/>
      <color rgb="FFA0C3F6"/>
      <color rgb="FF72ADEE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E2A39-D9C7-4D96-9B44-0ADDAAC269B1}" name="Table1" displayName="Table1" ref="A1:I21" totalsRowShown="0" dataDxfId="30" tableBorderDxfId="38">
  <autoFilter ref="A1:I21" xr:uid="{ED7E2A39-D9C7-4D96-9B44-0ADDAAC269B1}"/>
  <tableColumns count="9">
    <tableColumn id="1" xr3:uid="{726DA3BC-FAEF-40F0-8128-BE06BDDBFC34}" name="Student Id" dataDxfId="37"/>
    <tableColumn id="2" xr3:uid="{8A67EEAF-F167-4A18-89D9-E3BE3E0ABD93}" name="Name" dataDxfId="36"/>
    <tableColumn id="3" xr3:uid="{1C09EB88-D486-4D1B-9CA0-73A51B8A6DA4}" name="Maths" dataDxfId="35"/>
    <tableColumn id="4" xr3:uid="{D98E1EA6-36C3-42E1-A8B7-AE5416AD1043}" name="Science" dataDxfId="34"/>
    <tableColumn id="5" xr3:uid="{FA271167-4B2B-4448-AE00-5B5054434509}" name="English" dataDxfId="33"/>
    <tableColumn id="6" xr3:uid="{1EDF2870-A5A8-4A42-B7CD-7BD525B2DB41}" name="Average Marks" dataDxfId="32">
      <calculatedColumnFormula>AVERAGE(C2:E2)</calculatedColumnFormula>
    </tableColumn>
    <tableColumn id="7" xr3:uid="{674D2B0B-91BA-4D00-B3BE-71DD3DB33625}" name="Grade" dataDxfId="31">
      <calculatedColumnFormula>IF(F2&gt;=80,"A",IF(F2&gt;=70,"B",IF(F2&gt;=60,"C","Fail")))</calculatedColumnFormula>
    </tableColumn>
    <tableColumn id="8" xr3:uid="{0B9C4DA0-B71C-467E-A8F5-7D0F1A43BA2C}" name="High Score (&gt;80)" dataDxfId="6">
      <calculatedColumnFormula>IF(AND(C2&gt;80, D2&gt;80), "Yes", "No")</calculatedColumnFormula>
    </tableColumn>
    <tableColumn id="9" xr3:uid="{A1B383AE-8658-4460-B96C-BF7258DFCDB1}" name="Enrollment Date" dataDxfId="5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433478-C940-4FE9-B3AB-831EAC5A44E2}" name="Table2" displayName="Table2" ref="C1:I21" totalsRowShown="0" headerRowDxfId="19" dataDxfId="20" headerRowBorderDxfId="28" tableBorderDxfId="29">
  <autoFilter ref="C1:I21" xr:uid="{2C433478-C940-4FE9-B3AB-831EAC5A44E2}"/>
  <tableColumns count="7">
    <tableColumn id="1" xr3:uid="{9187C8FD-C4A9-4B75-8509-DA8E98357FEB}" name="Region" dataDxfId="27"/>
    <tableColumn id="2" xr3:uid="{30182021-1266-44B3-99FF-9816E6B4FA40}" name="SalesPerson" dataDxfId="26"/>
    <tableColumn id="3" xr3:uid="{43F8EB0E-600C-49E9-9FE1-A1F25A832753}" name="Amount" dataDxfId="25"/>
    <tableColumn id="4" xr3:uid="{BA98A557-DAAB-4FA2-BBFC-4F9F12EDB542}" name="Discount Eligible" dataDxfId="24">
      <calculatedColumnFormula>IF(OR(E2 &gt; 10000, B2 = "Keyboard", B2 = "Mouse"), "Eligible", "Not Eligible")</calculatedColumnFormula>
    </tableColumn>
    <tableColumn id="5" xr3:uid="{93CC9474-18A8-49E6-81EE-7FA4064B8644}" name="Discount %" dataDxfId="23">
      <calculatedColumnFormula>IF(E2&gt;40000,0.1,IF(E2&gt;20000,0.05,IF(E2&gt;10000,0.02,0)))</calculatedColumnFormula>
    </tableColumn>
    <tableColumn id="6" xr3:uid="{E3511F91-5BF3-4C60-B670-B925C07771A0}" name="Final Amount" dataDxfId="22">
      <calculatedColumnFormula>E2 - (E2 * G2 / 100)</calculatedColumnFormula>
    </tableColumn>
    <tableColumn id="7" xr3:uid="{50FAB65D-D0F8-48DE-B12F-287010475B07}" name="Date" dataDxfId="2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6C3C96-8D22-470D-B34D-8690F58FBA62}" name="Table6" displayName="Table6" ref="A1:B21" totalsRowShown="0" headerRowDxfId="0" headerRowBorderDxfId="3" tableBorderDxfId="4">
  <autoFilter ref="A1:B21" xr:uid="{236C3C96-8D22-470D-B34D-8690F58FBA62}"/>
  <tableColumns count="2">
    <tableColumn id="1" xr3:uid="{B7256527-8107-492F-AB3F-3DA776B2FE5E}" name="Sales Id" dataDxfId="2"/>
    <tableColumn id="2" xr3:uid="{0B4EEA44-1B3B-4599-9FA9-E3C20118287B}" name="Product" dataDxfId="1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D5717C-730F-491F-9E2D-65717B2795A2}" name="Table3" displayName="Table3" ref="B1:E21" totalsRowShown="0" headerRowDxfId="12" headerRowBorderDxfId="17" tableBorderDxfId="18">
  <autoFilter ref="B1:E21" xr:uid="{F2D5717C-730F-491F-9E2D-65717B2795A2}"/>
  <tableColumns count="4">
    <tableColumn id="1" xr3:uid="{48CAAFB7-A878-49BF-95E6-7FF7F9652398}" name="Name" dataDxfId="16"/>
    <tableColumn id="2" xr3:uid="{253C75F3-56C2-48E1-8516-19CF199F6908}" name="Department" dataDxfId="15"/>
    <tableColumn id="3" xr3:uid="{5B2B6EC5-41E9-4F02-9637-6A0EDA8AB95B}" name="Salary" dataDxfId="14"/>
    <tableColumn id="4" xr3:uid="{5458E6C1-FC52-4B06-BEF4-75B6F4787E00}" name="Joining Date" dataDxfId="13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667BD9-4951-487F-A892-5B0E663DF485}" name="Table5" displayName="Table5" ref="A1:A21" totalsRowShown="0" headerRowDxfId="7" dataDxfId="8" headerRowBorderDxfId="10" tableBorderDxfId="11">
  <autoFilter ref="A1:A21" xr:uid="{46667BD9-4951-487F-A892-5B0E663DF485}"/>
  <tableColumns count="1">
    <tableColumn id="1" xr3:uid="{1E10C3F4-03E9-4C36-8B0D-33DEB22EF8FF}" name="Employee ID" dataDxfId="9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A299-38C0-4DA9-8732-78D6F7244665}">
  <dimension ref="A1:Q23"/>
  <sheetViews>
    <sheetView tabSelected="1" zoomScale="95" zoomScaleNormal="119" workbookViewId="0">
      <selection activeCell="I27" sqref="I27"/>
    </sheetView>
  </sheetViews>
  <sheetFormatPr defaultColWidth="15.33203125" defaultRowHeight="14.4" x14ac:dyDescent="0.3"/>
  <cols>
    <col min="8" max="8" width="16.33203125" customWidth="1"/>
    <col min="9" max="9" width="17.5546875" customWidth="1"/>
    <col min="10" max="10" width="17.109375" customWidth="1"/>
    <col min="11" max="11" width="17.21875" customWidth="1"/>
    <col min="12" max="12" width="16.77734375" customWidth="1"/>
  </cols>
  <sheetData>
    <row r="1" spans="1:17" ht="15" thickBot="1" x14ac:dyDescent="0.35">
      <c r="A1" s="22" t="s">
        <v>24</v>
      </c>
      <c r="B1" s="22" t="s">
        <v>0</v>
      </c>
      <c r="C1" s="22" t="s">
        <v>25</v>
      </c>
      <c r="D1" s="22" t="s">
        <v>1</v>
      </c>
      <c r="E1" s="22" t="s">
        <v>2</v>
      </c>
      <c r="F1" s="23" t="s">
        <v>89</v>
      </c>
      <c r="G1" s="24" t="s">
        <v>90</v>
      </c>
      <c r="H1" s="25" t="s">
        <v>93</v>
      </c>
      <c r="I1" s="22" t="s">
        <v>3</v>
      </c>
      <c r="K1" s="83" t="s">
        <v>95</v>
      </c>
    </row>
    <row r="2" spans="1:17" ht="15" thickBot="1" x14ac:dyDescent="0.35">
      <c r="A2" s="19">
        <v>1001</v>
      </c>
      <c r="B2" s="3" t="s">
        <v>4</v>
      </c>
      <c r="C2" s="2">
        <v>61</v>
      </c>
      <c r="D2" s="2">
        <v>48</v>
      </c>
      <c r="E2" s="2">
        <v>76</v>
      </c>
      <c r="F2" s="17">
        <f>AVERAGE(C2:E2)</f>
        <v>61.666666666666664</v>
      </c>
      <c r="G2" s="18" t="str">
        <f>IF(F2&gt;=80,"A",IF(F2&gt;=70,"B",IF(F2&gt;=60,"C","Fail")))</f>
        <v>C</v>
      </c>
      <c r="H2" s="18" t="str">
        <f>IF(AND(C2&gt;80, D2&gt;80), "Yes", "No")</f>
        <v>No</v>
      </c>
      <c r="I2" s="97">
        <v>43101</v>
      </c>
      <c r="K2" s="89">
        <f>COUNTIF(C2:C21,"&gt;50")</f>
        <v>19</v>
      </c>
    </row>
    <row r="3" spans="1:17" ht="15" thickBot="1" x14ac:dyDescent="0.35">
      <c r="A3" s="20">
        <v>1002</v>
      </c>
      <c r="B3" s="4" t="s">
        <v>5</v>
      </c>
      <c r="C3" s="1">
        <v>78</v>
      </c>
      <c r="D3" s="1">
        <v>76</v>
      </c>
      <c r="E3" s="1">
        <v>70</v>
      </c>
      <c r="F3" s="10">
        <f>AVERAGE(C3:E3)</f>
        <v>74.666666666666671</v>
      </c>
      <c r="G3" s="11" t="str">
        <f t="shared" ref="G3:G21" si="0">IF(F3&gt;=80,"A",IF(F3&gt;=70,"B",IF(F3&gt;=60,"C","Fail")))</f>
        <v>B</v>
      </c>
      <c r="H3" s="11" t="str">
        <f t="shared" ref="H3:H21" si="1">IF(AND(C3&gt;80, D3&gt;80), "Yes", "No")</f>
        <v>No</v>
      </c>
      <c r="I3" s="98">
        <v>43281</v>
      </c>
    </row>
    <row r="4" spans="1:17" x14ac:dyDescent="0.3">
      <c r="A4" s="20">
        <v>1003</v>
      </c>
      <c r="B4" s="4" t="s">
        <v>6</v>
      </c>
      <c r="C4" s="1">
        <v>97</v>
      </c>
      <c r="D4" s="1">
        <v>60</v>
      </c>
      <c r="E4" s="1">
        <v>51</v>
      </c>
      <c r="F4" s="10">
        <f>AVERAGE(C4:E4)</f>
        <v>69.333333333333329</v>
      </c>
      <c r="G4" s="11" t="str">
        <f t="shared" si="0"/>
        <v>C</v>
      </c>
      <c r="H4" s="11" t="str">
        <f t="shared" si="1"/>
        <v>No</v>
      </c>
      <c r="I4" s="98">
        <v>43461</v>
      </c>
      <c r="K4" s="83" t="s">
        <v>98</v>
      </c>
    </row>
    <row r="5" spans="1:17" ht="15" thickBot="1" x14ac:dyDescent="0.35">
      <c r="A5" s="20">
        <v>1004</v>
      </c>
      <c r="B5" s="4" t="s">
        <v>7</v>
      </c>
      <c r="C5" s="1">
        <v>74</v>
      </c>
      <c r="D5" s="1">
        <v>55</v>
      </c>
      <c r="E5" s="1">
        <v>46</v>
      </c>
      <c r="F5" s="10">
        <f>AVERAGE(C5:E5)</f>
        <v>58.333333333333336</v>
      </c>
      <c r="G5" s="11" t="str">
        <f t="shared" si="0"/>
        <v>Fail</v>
      </c>
      <c r="H5" s="11" t="str">
        <f t="shared" si="1"/>
        <v>No</v>
      </c>
      <c r="I5" s="98">
        <v>43641</v>
      </c>
      <c r="K5" s="89">
        <f>AVERAGEIFS(F2:F21,F2:F21,"&gt;60")</f>
        <v>73.625000000000014</v>
      </c>
    </row>
    <row r="6" spans="1:17" ht="15" thickBot="1" x14ac:dyDescent="0.35">
      <c r="A6" s="20">
        <v>1005</v>
      </c>
      <c r="B6" s="4" t="s">
        <v>8</v>
      </c>
      <c r="C6" s="1">
        <v>68</v>
      </c>
      <c r="D6" s="1">
        <v>74</v>
      </c>
      <c r="E6" s="1">
        <v>84</v>
      </c>
      <c r="F6" s="10">
        <f>AVERAGE(C6:E6)</f>
        <v>75.333333333333329</v>
      </c>
      <c r="G6" s="11" t="str">
        <f t="shared" si="0"/>
        <v>B</v>
      </c>
      <c r="H6" s="11" t="str">
        <f t="shared" si="1"/>
        <v>No</v>
      </c>
      <c r="I6" s="98">
        <v>43821</v>
      </c>
    </row>
    <row r="7" spans="1:17" x14ac:dyDescent="0.3">
      <c r="A7" s="20">
        <v>1006</v>
      </c>
      <c r="B7" s="4" t="s">
        <v>9</v>
      </c>
      <c r="C7" s="1">
        <v>80</v>
      </c>
      <c r="D7" s="1">
        <v>70</v>
      </c>
      <c r="E7" s="1">
        <v>65</v>
      </c>
      <c r="F7" s="10">
        <f>AVERAGE(C7:E7)</f>
        <v>71.666666666666671</v>
      </c>
      <c r="G7" s="11" t="str">
        <f t="shared" si="0"/>
        <v>B</v>
      </c>
      <c r="H7" s="11" t="str">
        <f t="shared" si="1"/>
        <v>No</v>
      </c>
      <c r="I7" s="98">
        <v>44001</v>
      </c>
      <c r="K7" s="84" t="s">
        <v>99</v>
      </c>
      <c r="L7" s="85"/>
    </row>
    <row r="8" spans="1:17" ht="15" thickBot="1" x14ac:dyDescent="0.35">
      <c r="A8" s="20">
        <v>1007</v>
      </c>
      <c r="B8" s="4" t="s">
        <v>10</v>
      </c>
      <c r="C8" s="1">
        <v>75</v>
      </c>
      <c r="D8" s="1">
        <v>47</v>
      </c>
      <c r="E8" s="1">
        <v>78</v>
      </c>
      <c r="F8" s="10">
        <f>AVERAGE(C8:E8)</f>
        <v>66.666666666666671</v>
      </c>
      <c r="G8" s="11" t="str">
        <f t="shared" si="0"/>
        <v>C</v>
      </c>
      <c r="H8" s="11" t="str">
        <f t="shared" si="1"/>
        <v>No</v>
      </c>
      <c r="I8" s="98">
        <v>44181</v>
      </c>
      <c r="K8" s="90">
        <v>1009</v>
      </c>
      <c r="L8" s="91" t="str">
        <f>VLOOKUP(K8,A2:B21,2,FALSE)</f>
        <v>Student 9</v>
      </c>
    </row>
    <row r="9" spans="1:17" ht="15" thickBot="1" x14ac:dyDescent="0.35">
      <c r="A9" s="20">
        <v>1008</v>
      </c>
      <c r="B9" s="4" t="s">
        <v>11</v>
      </c>
      <c r="C9" s="1">
        <v>94</v>
      </c>
      <c r="D9" s="1">
        <v>67</v>
      </c>
      <c r="E9" s="1">
        <v>64</v>
      </c>
      <c r="F9" s="10">
        <f>AVERAGE(C9:E9)</f>
        <v>75</v>
      </c>
      <c r="G9" s="11" t="str">
        <f t="shared" si="0"/>
        <v>B</v>
      </c>
      <c r="H9" s="11" t="str">
        <f t="shared" si="1"/>
        <v>No</v>
      </c>
      <c r="I9" s="98">
        <v>44361</v>
      </c>
    </row>
    <row r="10" spans="1:17" x14ac:dyDescent="0.3">
      <c r="A10" s="20">
        <v>1009</v>
      </c>
      <c r="B10" s="4" t="s">
        <v>12</v>
      </c>
      <c r="C10" s="1">
        <v>41</v>
      </c>
      <c r="D10" s="1">
        <v>75</v>
      </c>
      <c r="E10" s="1">
        <v>56</v>
      </c>
      <c r="F10" s="10">
        <f>AVERAGE(C10:E10)</f>
        <v>57.333333333333336</v>
      </c>
      <c r="G10" s="11" t="str">
        <f t="shared" si="0"/>
        <v>Fail</v>
      </c>
      <c r="H10" s="11" t="str">
        <f t="shared" si="1"/>
        <v>No</v>
      </c>
      <c r="I10" s="98">
        <v>44541</v>
      </c>
      <c r="K10" s="86" t="s">
        <v>110</v>
      </c>
      <c r="L10" s="87"/>
      <c r="M10" s="87"/>
      <c r="N10" s="87"/>
      <c r="O10" s="87"/>
      <c r="P10" s="87"/>
      <c r="Q10" s="88"/>
    </row>
    <row r="11" spans="1:17" x14ac:dyDescent="0.3">
      <c r="A11" s="20">
        <v>1010</v>
      </c>
      <c r="B11" s="4" t="s">
        <v>13</v>
      </c>
      <c r="C11" s="1">
        <v>98</v>
      </c>
      <c r="D11" s="1">
        <v>54</v>
      </c>
      <c r="E11" s="1">
        <v>58</v>
      </c>
      <c r="F11" s="10">
        <f>AVERAGE(C11:E11)</f>
        <v>70</v>
      </c>
      <c r="G11" s="11" t="str">
        <f t="shared" si="0"/>
        <v>B</v>
      </c>
      <c r="H11" s="11" t="str">
        <f t="shared" si="1"/>
        <v>No</v>
      </c>
      <c r="I11" s="98">
        <v>44721</v>
      </c>
      <c r="K11" s="92" cm="1">
        <f t="array" ref="K11:Q12">_xlfn._xlws.FILTER(A2:G21,F2:F21&gt;80,"No Top Performers")</f>
        <v>1012</v>
      </c>
      <c r="L11" s="93" t="str">
        <v>Student 12</v>
      </c>
      <c r="M11" s="93">
        <v>85</v>
      </c>
      <c r="N11" s="93">
        <v>89</v>
      </c>
      <c r="O11" s="93">
        <v>79</v>
      </c>
      <c r="P11" s="96">
        <v>84.333333333333329</v>
      </c>
      <c r="Q11" s="94" t="str">
        <v>A</v>
      </c>
    </row>
    <row r="12" spans="1:17" ht="15" thickBot="1" x14ac:dyDescent="0.35">
      <c r="A12" s="20">
        <v>1011</v>
      </c>
      <c r="B12" s="4" t="s">
        <v>14</v>
      </c>
      <c r="C12" s="1">
        <v>73</v>
      </c>
      <c r="D12" s="1">
        <v>79</v>
      </c>
      <c r="E12" s="1">
        <v>53</v>
      </c>
      <c r="F12" s="10">
        <f>AVERAGE(C12:E12)</f>
        <v>68.333333333333329</v>
      </c>
      <c r="G12" s="11" t="str">
        <f t="shared" si="0"/>
        <v>C</v>
      </c>
      <c r="H12" s="11" t="str">
        <f t="shared" si="1"/>
        <v>No</v>
      </c>
      <c r="I12" s="98">
        <v>44901</v>
      </c>
      <c r="K12" s="90">
        <v>1013</v>
      </c>
      <c r="L12" s="95" t="str">
        <v>Student 13</v>
      </c>
      <c r="M12" s="95">
        <v>98</v>
      </c>
      <c r="N12" s="95">
        <v>90</v>
      </c>
      <c r="O12" s="95">
        <v>97</v>
      </c>
      <c r="P12" s="95">
        <v>95</v>
      </c>
      <c r="Q12" s="91" t="str">
        <v>A</v>
      </c>
    </row>
    <row r="13" spans="1:17" x14ac:dyDescent="0.3">
      <c r="A13" s="20">
        <v>1012</v>
      </c>
      <c r="B13" s="4" t="s">
        <v>15</v>
      </c>
      <c r="C13" s="1">
        <v>85</v>
      </c>
      <c r="D13" s="1">
        <v>89</v>
      </c>
      <c r="E13" s="1">
        <v>79</v>
      </c>
      <c r="F13" s="10">
        <f>AVERAGE(C13:E13)</f>
        <v>84.333333333333329</v>
      </c>
      <c r="G13" s="11" t="str">
        <f t="shared" si="0"/>
        <v>A</v>
      </c>
      <c r="H13" s="11" t="str">
        <f t="shared" si="1"/>
        <v>Yes</v>
      </c>
      <c r="I13" s="98">
        <v>45081</v>
      </c>
    </row>
    <row r="14" spans="1:17" x14ac:dyDescent="0.3">
      <c r="A14" s="20">
        <v>1013</v>
      </c>
      <c r="B14" s="4" t="s">
        <v>16</v>
      </c>
      <c r="C14" s="1">
        <v>98</v>
      </c>
      <c r="D14" s="1">
        <v>90</v>
      </c>
      <c r="E14" s="1">
        <v>97</v>
      </c>
      <c r="F14" s="10">
        <f>AVERAGE(C14:E14)</f>
        <v>95</v>
      </c>
      <c r="G14" s="11" t="str">
        <f t="shared" si="0"/>
        <v>A</v>
      </c>
      <c r="H14" s="11" t="str">
        <f t="shared" si="1"/>
        <v>Yes</v>
      </c>
      <c r="I14" s="98">
        <v>45261</v>
      </c>
    </row>
    <row r="15" spans="1:17" x14ac:dyDescent="0.3">
      <c r="A15" s="20">
        <v>1014</v>
      </c>
      <c r="B15" s="4" t="s">
        <v>17</v>
      </c>
      <c r="C15" s="1">
        <v>93</v>
      </c>
      <c r="D15" s="1">
        <v>40</v>
      </c>
      <c r="E15" s="1">
        <v>44</v>
      </c>
      <c r="F15" s="10">
        <f>AVERAGE(C15:E15)</f>
        <v>59</v>
      </c>
      <c r="G15" s="11" t="str">
        <f t="shared" si="0"/>
        <v>Fail</v>
      </c>
      <c r="H15" s="11" t="str">
        <f t="shared" si="1"/>
        <v>No</v>
      </c>
      <c r="I15" s="98">
        <v>45441</v>
      </c>
    </row>
    <row r="16" spans="1:17" x14ac:dyDescent="0.3">
      <c r="A16" s="20">
        <v>1015</v>
      </c>
      <c r="B16" s="4" t="s">
        <v>18</v>
      </c>
      <c r="C16" s="1">
        <v>70</v>
      </c>
      <c r="D16" s="1">
        <v>51</v>
      </c>
      <c r="E16" s="1">
        <v>75</v>
      </c>
      <c r="F16" s="10">
        <f>AVERAGE(C16:E16)</f>
        <v>65.333333333333329</v>
      </c>
      <c r="G16" s="11" t="str">
        <f t="shared" si="0"/>
        <v>C</v>
      </c>
      <c r="H16" s="11" t="str">
        <f t="shared" si="1"/>
        <v>No</v>
      </c>
      <c r="I16" s="98">
        <v>45621</v>
      </c>
    </row>
    <row r="17" spans="1:10" x14ac:dyDescent="0.3">
      <c r="A17" s="20">
        <v>1016</v>
      </c>
      <c r="B17" s="4" t="s">
        <v>19</v>
      </c>
      <c r="C17" s="1">
        <v>98</v>
      </c>
      <c r="D17" s="1">
        <v>77</v>
      </c>
      <c r="E17" s="1">
        <v>60</v>
      </c>
      <c r="F17" s="10">
        <f>AVERAGE(C17:E17)</f>
        <v>78.333333333333329</v>
      </c>
      <c r="G17" s="11" t="str">
        <f t="shared" si="0"/>
        <v>B</v>
      </c>
      <c r="H17" s="11" t="str">
        <f t="shared" si="1"/>
        <v>No</v>
      </c>
      <c r="I17" s="98">
        <v>45801</v>
      </c>
    </row>
    <row r="18" spans="1:10" x14ac:dyDescent="0.3">
      <c r="A18" s="20">
        <v>1017</v>
      </c>
      <c r="B18" s="4" t="s">
        <v>20</v>
      </c>
      <c r="C18" s="1">
        <v>66</v>
      </c>
      <c r="D18" s="1">
        <v>59</v>
      </c>
      <c r="E18" s="1">
        <v>40</v>
      </c>
      <c r="F18" s="10">
        <f>AVERAGE(C18:E18)</f>
        <v>55</v>
      </c>
      <c r="G18" s="11" t="str">
        <f t="shared" si="0"/>
        <v>Fail</v>
      </c>
      <c r="H18" s="11" t="str">
        <f t="shared" si="1"/>
        <v>No</v>
      </c>
      <c r="I18" s="98">
        <v>45981</v>
      </c>
    </row>
    <row r="19" spans="1:10" x14ac:dyDescent="0.3">
      <c r="A19" s="20">
        <v>1018</v>
      </c>
      <c r="B19" s="4" t="s">
        <v>21</v>
      </c>
      <c r="C19" s="1">
        <v>82</v>
      </c>
      <c r="D19" s="1">
        <v>48</v>
      </c>
      <c r="E19" s="1">
        <v>79</v>
      </c>
      <c r="F19" s="10">
        <f>AVERAGE(C19:E19)</f>
        <v>69.666666666666671</v>
      </c>
      <c r="G19" s="11" t="str">
        <f t="shared" si="0"/>
        <v>C</v>
      </c>
      <c r="H19" s="11" t="str">
        <f t="shared" si="1"/>
        <v>No</v>
      </c>
      <c r="I19" s="98">
        <v>46161</v>
      </c>
    </row>
    <row r="20" spans="1:10" x14ac:dyDescent="0.3">
      <c r="A20" s="20">
        <v>1019</v>
      </c>
      <c r="B20" s="4" t="s">
        <v>22</v>
      </c>
      <c r="C20" s="1">
        <v>90</v>
      </c>
      <c r="D20" s="1">
        <v>78</v>
      </c>
      <c r="E20" s="1">
        <v>60</v>
      </c>
      <c r="F20" s="10">
        <f>AVERAGE(C20:E20)</f>
        <v>76</v>
      </c>
      <c r="G20" s="11" t="str">
        <f t="shared" si="0"/>
        <v>B</v>
      </c>
      <c r="H20" s="11" t="str">
        <f t="shared" si="1"/>
        <v>No</v>
      </c>
      <c r="I20" s="98">
        <v>46341</v>
      </c>
    </row>
    <row r="21" spans="1:10" x14ac:dyDescent="0.3">
      <c r="A21" s="26">
        <v>1020</v>
      </c>
      <c r="B21" s="27" t="s">
        <v>23</v>
      </c>
      <c r="C21" s="28">
        <v>83</v>
      </c>
      <c r="D21" s="28">
        <v>92</v>
      </c>
      <c r="E21" s="28">
        <v>55</v>
      </c>
      <c r="F21" s="29">
        <f>AVERAGE(C21:E21)</f>
        <v>76.666666666666671</v>
      </c>
      <c r="G21" s="30" t="str">
        <f t="shared" si="0"/>
        <v>B</v>
      </c>
      <c r="H21" s="30" t="str">
        <f t="shared" si="1"/>
        <v>Yes</v>
      </c>
      <c r="I21" s="99">
        <v>46521</v>
      </c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2">
    <mergeCell ref="K7:L7"/>
    <mergeCell ref="K10:Q10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8153-4E58-497A-8AEE-D1676A44DB39}">
  <dimension ref="A1:L24"/>
  <sheetViews>
    <sheetView workbookViewId="0">
      <selection activeCell="F25" sqref="F25"/>
    </sheetView>
  </sheetViews>
  <sheetFormatPr defaultColWidth="16.88671875" defaultRowHeight="14.4" x14ac:dyDescent="0.3"/>
  <sheetData>
    <row r="1" spans="1:12" ht="15" thickBot="1" x14ac:dyDescent="0.35">
      <c r="A1" s="35" t="s">
        <v>26</v>
      </c>
      <c r="B1" s="37" t="s">
        <v>27</v>
      </c>
      <c r="C1" s="35" t="s">
        <v>28</v>
      </c>
      <c r="D1" s="36" t="s">
        <v>29</v>
      </c>
      <c r="E1" s="36" t="s">
        <v>30</v>
      </c>
      <c r="F1" s="36" t="s">
        <v>94</v>
      </c>
      <c r="G1" s="36" t="s">
        <v>91</v>
      </c>
      <c r="H1" s="36" t="s">
        <v>92</v>
      </c>
      <c r="I1" s="37" t="s">
        <v>31</v>
      </c>
      <c r="K1" s="58" t="s">
        <v>96</v>
      </c>
      <c r="L1" s="60"/>
    </row>
    <row r="2" spans="1:12" x14ac:dyDescent="0.3">
      <c r="A2" s="106">
        <v>2001</v>
      </c>
      <c r="B2" s="9" t="s">
        <v>32</v>
      </c>
      <c r="C2" s="32" t="s">
        <v>33</v>
      </c>
      <c r="D2" s="6" t="s">
        <v>34</v>
      </c>
      <c r="E2" s="7">
        <v>7048</v>
      </c>
      <c r="F2" s="7" t="str">
        <f>IF(OR(E2 &gt; 10000, B2 = "Keyboard", B2 = "Mouse"), "Eligible", "Not Eligible")</f>
        <v>Eligible</v>
      </c>
      <c r="G2" s="13">
        <f>IF(E2&gt;40000,0.1,IF(E2&gt;20000,0.05,IF(E2&gt;10000,0.02,0)))</f>
        <v>0</v>
      </c>
      <c r="H2" s="7">
        <f t="shared" ref="H2:H21" si="0">E2 - (E2 * G2 / 100)</f>
        <v>7048</v>
      </c>
      <c r="I2" s="34">
        <v>44927</v>
      </c>
      <c r="K2" s="73" t="s">
        <v>33</v>
      </c>
      <c r="L2" s="74" t="s">
        <v>32</v>
      </c>
    </row>
    <row r="3" spans="1:12" ht="15" thickBot="1" x14ac:dyDescent="0.35">
      <c r="A3" s="20">
        <v>2002</v>
      </c>
      <c r="B3" s="55" t="s">
        <v>35</v>
      </c>
      <c r="C3" s="33" t="s">
        <v>36</v>
      </c>
      <c r="D3" s="1" t="s">
        <v>37</v>
      </c>
      <c r="E3" s="8">
        <v>17428</v>
      </c>
      <c r="F3" s="8" t="str">
        <f t="shared" ref="F3:F21" si="1">IF(OR(E3 &gt; 10000, B3 = "Keyboard", B3 = "Mouse"), "Eligible", "Not Eligible")</f>
        <v>Eligible</v>
      </c>
      <c r="G3" s="12">
        <f t="shared" ref="G3:G21" si="2">IF(E3&gt;40000,0.1,IF(E3&gt;20000,0.05,IF(E3&gt;10000,0.02,0)))</f>
        <v>0.02</v>
      </c>
      <c r="H3" s="8">
        <f t="shared" si="0"/>
        <v>17424.5144</v>
      </c>
      <c r="I3" s="21">
        <v>44942</v>
      </c>
      <c r="K3" s="78" t="s">
        <v>97</v>
      </c>
      <c r="L3" s="66">
        <f>SUMIFS(H2:H21, C2:C21, K2, B2:B21, L2)</f>
        <v>42215.407500000001</v>
      </c>
    </row>
    <row r="4" spans="1:12" ht="15" thickBot="1" x14ac:dyDescent="0.35">
      <c r="A4" s="20">
        <v>2003</v>
      </c>
      <c r="B4" s="55" t="s">
        <v>38</v>
      </c>
      <c r="C4" s="33" t="s">
        <v>33</v>
      </c>
      <c r="D4" s="1" t="s">
        <v>39</v>
      </c>
      <c r="E4" s="8">
        <v>23672</v>
      </c>
      <c r="F4" s="8" t="str">
        <f t="shared" si="1"/>
        <v>Eligible</v>
      </c>
      <c r="G4" s="12">
        <f t="shared" si="2"/>
        <v>0.05</v>
      </c>
      <c r="H4" s="8">
        <f t="shared" si="0"/>
        <v>23660.164000000001</v>
      </c>
      <c r="I4" s="21">
        <v>44957</v>
      </c>
    </row>
    <row r="5" spans="1:12" x14ac:dyDescent="0.3">
      <c r="A5" s="20">
        <v>2004</v>
      </c>
      <c r="B5" s="55" t="s">
        <v>35</v>
      </c>
      <c r="C5" s="33" t="s">
        <v>40</v>
      </c>
      <c r="D5" s="1" t="s">
        <v>41</v>
      </c>
      <c r="E5" s="8">
        <v>5264</v>
      </c>
      <c r="F5" s="8" t="str">
        <f t="shared" si="1"/>
        <v>Not Eligible</v>
      </c>
      <c r="G5" s="12">
        <f t="shared" si="2"/>
        <v>0</v>
      </c>
      <c r="H5" s="8">
        <f t="shared" si="0"/>
        <v>5264</v>
      </c>
      <c r="I5" s="21">
        <v>44972</v>
      </c>
      <c r="K5" s="58" t="s">
        <v>100</v>
      </c>
      <c r="L5" s="60"/>
    </row>
    <row r="6" spans="1:12" ht="15" thickBot="1" x14ac:dyDescent="0.35">
      <c r="A6" s="20">
        <v>2005</v>
      </c>
      <c r="B6" s="55" t="s">
        <v>32</v>
      </c>
      <c r="C6" s="33" t="s">
        <v>42</v>
      </c>
      <c r="D6" s="1" t="s">
        <v>43</v>
      </c>
      <c r="E6" s="8">
        <v>43388</v>
      </c>
      <c r="F6" s="8" t="str">
        <f t="shared" si="1"/>
        <v>Eligible</v>
      </c>
      <c r="G6" s="12">
        <f t="shared" si="2"/>
        <v>0.1</v>
      </c>
      <c r="H6" s="8">
        <f t="shared" si="0"/>
        <v>43344.612000000001</v>
      </c>
      <c r="I6" s="21">
        <v>44987</v>
      </c>
      <c r="K6" s="76">
        <v>2005</v>
      </c>
      <c r="L6" s="77">
        <f>VLOOKUP(K6,A2:H21,8,FALSE)</f>
        <v>43344.612000000001</v>
      </c>
    </row>
    <row r="7" spans="1:12" ht="15" thickBot="1" x14ac:dyDescent="0.35">
      <c r="A7" s="20">
        <v>2006</v>
      </c>
      <c r="B7" s="55" t="s">
        <v>38</v>
      </c>
      <c r="C7" s="33" t="s">
        <v>42</v>
      </c>
      <c r="D7" s="1" t="s">
        <v>44</v>
      </c>
      <c r="E7" s="8">
        <v>19757</v>
      </c>
      <c r="F7" s="8" t="str">
        <f t="shared" si="1"/>
        <v>Eligible</v>
      </c>
      <c r="G7" s="12">
        <f t="shared" si="2"/>
        <v>0.02</v>
      </c>
      <c r="H7" s="8">
        <f t="shared" si="0"/>
        <v>19753.048599999998</v>
      </c>
      <c r="I7" s="21">
        <v>45002</v>
      </c>
    </row>
    <row r="8" spans="1:12" x14ac:dyDescent="0.3">
      <c r="A8" s="20">
        <v>2007</v>
      </c>
      <c r="B8" s="55" t="s">
        <v>38</v>
      </c>
      <c r="C8" s="33" t="s">
        <v>40</v>
      </c>
      <c r="D8" s="1" t="s">
        <v>45</v>
      </c>
      <c r="E8" s="8">
        <v>32058</v>
      </c>
      <c r="F8" s="8" t="str">
        <f t="shared" si="1"/>
        <v>Eligible</v>
      </c>
      <c r="G8" s="12">
        <f t="shared" si="2"/>
        <v>0.05</v>
      </c>
      <c r="H8" s="8">
        <f t="shared" si="0"/>
        <v>32041.971000000001</v>
      </c>
      <c r="I8" s="21">
        <v>45017</v>
      </c>
      <c r="K8" s="58" t="s">
        <v>101</v>
      </c>
      <c r="L8" s="59"/>
    </row>
    <row r="9" spans="1:12" x14ac:dyDescent="0.3">
      <c r="A9" s="20">
        <v>2008</v>
      </c>
      <c r="B9" s="55" t="s">
        <v>32</v>
      </c>
      <c r="C9" s="33" t="s">
        <v>40</v>
      </c>
      <c r="D9" s="1" t="s">
        <v>46</v>
      </c>
      <c r="E9" s="8">
        <v>46429</v>
      </c>
      <c r="F9" s="8" t="str">
        <f t="shared" si="1"/>
        <v>Eligible</v>
      </c>
      <c r="G9" s="12">
        <f t="shared" si="2"/>
        <v>0.1</v>
      </c>
      <c r="H9" s="8">
        <f t="shared" si="0"/>
        <v>46382.571000000004</v>
      </c>
      <c r="I9" s="21">
        <v>45032</v>
      </c>
      <c r="K9" s="73" t="s">
        <v>44</v>
      </c>
      <c r="L9" s="74" cm="1">
        <f t="array" ref="L9">INDEX(H2:H21, MATCH(1, (D2:D21=K9)*(MONTH(I2:I21)=K10), 0))</f>
        <v>19753.048599999998</v>
      </c>
    </row>
    <row r="10" spans="1:12" ht="15" thickBot="1" x14ac:dyDescent="0.35">
      <c r="A10" s="20">
        <v>2009</v>
      </c>
      <c r="B10" s="55" t="s">
        <v>35</v>
      </c>
      <c r="C10" s="33" t="s">
        <v>40</v>
      </c>
      <c r="D10" s="1" t="s">
        <v>47</v>
      </c>
      <c r="E10" s="8">
        <v>19746</v>
      </c>
      <c r="F10" s="8" t="str">
        <f t="shared" si="1"/>
        <v>Eligible</v>
      </c>
      <c r="G10" s="12">
        <f t="shared" si="2"/>
        <v>0.02</v>
      </c>
      <c r="H10" s="8">
        <f t="shared" si="0"/>
        <v>19742.050800000001</v>
      </c>
      <c r="I10" s="21">
        <v>45047</v>
      </c>
      <c r="K10" s="75">
        <v>3</v>
      </c>
      <c r="L10" s="66"/>
    </row>
    <row r="11" spans="1:12" ht="15" thickBot="1" x14ac:dyDescent="0.35">
      <c r="A11" s="20">
        <v>2010</v>
      </c>
      <c r="B11" s="55" t="s">
        <v>32</v>
      </c>
      <c r="C11" s="33" t="s">
        <v>33</v>
      </c>
      <c r="D11" s="1" t="s">
        <v>48</v>
      </c>
      <c r="E11" s="8">
        <v>35185</v>
      </c>
      <c r="F11" s="8" t="str">
        <f t="shared" si="1"/>
        <v>Eligible</v>
      </c>
      <c r="G11" s="12">
        <f t="shared" si="2"/>
        <v>0.05</v>
      </c>
      <c r="H11" s="8">
        <f t="shared" si="0"/>
        <v>35167.407500000001</v>
      </c>
      <c r="I11" s="21">
        <v>45062</v>
      </c>
    </row>
    <row r="12" spans="1:12" x14ac:dyDescent="0.3">
      <c r="A12" s="20">
        <v>2011</v>
      </c>
      <c r="B12" s="55" t="s">
        <v>32</v>
      </c>
      <c r="C12" s="33" t="s">
        <v>40</v>
      </c>
      <c r="D12" s="1" t="s">
        <v>49</v>
      </c>
      <c r="E12" s="8">
        <v>33920</v>
      </c>
      <c r="F12" s="8" t="str">
        <f t="shared" si="1"/>
        <v>Eligible</v>
      </c>
      <c r="G12" s="12">
        <f t="shared" si="2"/>
        <v>0.05</v>
      </c>
      <c r="H12" s="8">
        <f t="shared" si="0"/>
        <v>33903.040000000001</v>
      </c>
      <c r="I12" s="21">
        <v>45077</v>
      </c>
      <c r="K12" s="70" t="str">
        <f>LEFT(B2, FIND("b", B2)-1)</f>
        <v>Key</v>
      </c>
    </row>
    <row r="13" spans="1:12" x14ac:dyDescent="0.3">
      <c r="A13" s="20">
        <v>2012</v>
      </c>
      <c r="B13" s="55" t="s">
        <v>50</v>
      </c>
      <c r="C13" s="33" t="s">
        <v>42</v>
      </c>
      <c r="D13" s="1" t="s">
        <v>51</v>
      </c>
      <c r="E13" s="8">
        <v>35611</v>
      </c>
      <c r="F13" s="8" t="str">
        <f t="shared" si="1"/>
        <v>Eligible</v>
      </c>
      <c r="G13" s="12">
        <f t="shared" si="2"/>
        <v>0.05</v>
      </c>
      <c r="H13" s="8">
        <f t="shared" si="0"/>
        <v>35593.194499999998</v>
      </c>
      <c r="I13" s="21">
        <v>45092</v>
      </c>
      <c r="K13" s="71" t="str">
        <f>UPPER(C3)</f>
        <v>WEST</v>
      </c>
    </row>
    <row r="14" spans="1:12" ht="15" thickBot="1" x14ac:dyDescent="0.35">
      <c r="A14" s="20">
        <v>2013</v>
      </c>
      <c r="B14" s="55" t="s">
        <v>52</v>
      </c>
      <c r="C14" s="33" t="s">
        <v>40</v>
      </c>
      <c r="D14" s="1" t="s">
        <v>53</v>
      </c>
      <c r="E14" s="8">
        <v>15560</v>
      </c>
      <c r="F14" s="8" t="str">
        <f t="shared" si="1"/>
        <v>Eligible</v>
      </c>
      <c r="G14" s="12">
        <f t="shared" si="2"/>
        <v>0.02</v>
      </c>
      <c r="H14" s="8">
        <f t="shared" si="0"/>
        <v>15556.888000000001</v>
      </c>
      <c r="I14" s="21">
        <v>45107</v>
      </c>
      <c r="K14" s="72" t="str">
        <f>LOWER(B4)</f>
        <v>mouse</v>
      </c>
    </row>
    <row r="15" spans="1:12" ht="15" thickBot="1" x14ac:dyDescent="0.35">
      <c r="A15" s="20">
        <v>2014</v>
      </c>
      <c r="B15" s="55" t="s">
        <v>52</v>
      </c>
      <c r="C15" s="33" t="s">
        <v>33</v>
      </c>
      <c r="D15" s="1" t="s">
        <v>54</v>
      </c>
      <c r="E15" s="8">
        <v>7283</v>
      </c>
      <c r="F15" s="8" t="str">
        <f t="shared" si="1"/>
        <v>Not Eligible</v>
      </c>
      <c r="G15" s="12">
        <f t="shared" si="2"/>
        <v>0</v>
      </c>
      <c r="H15" s="8">
        <f t="shared" si="0"/>
        <v>7283</v>
      </c>
      <c r="I15" s="21">
        <v>45122</v>
      </c>
    </row>
    <row r="16" spans="1:12" ht="15" thickBot="1" x14ac:dyDescent="0.35">
      <c r="A16" s="20">
        <v>2015</v>
      </c>
      <c r="B16" s="55" t="s">
        <v>52</v>
      </c>
      <c r="C16" s="33" t="s">
        <v>40</v>
      </c>
      <c r="D16" s="1" t="s">
        <v>55</v>
      </c>
      <c r="E16" s="8">
        <v>15678</v>
      </c>
      <c r="F16" s="8" t="str">
        <f t="shared" si="1"/>
        <v>Eligible</v>
      </c>
      <c r="G16" s="12">
        <f t="shared" si="2"/>
        <v>0.02</v>
      </c>
      <c r="H16" s="8">
        <f t="shared" si="0"/>
        <v>15674.8644</v>
      </c>
      <c r="I16" s="21">
        <v>45137</v>
      </c>
      <c r="K16" s="69" t="s">
        <v>39</v>
      </c>
      <c r="L16" s="68">
        <f>_xlfn.XLOOKUP(K16, D2:D21, H2:H21, "Not Found")</f>
        <v>23660.164000000001</v>
      </c>
    </row>
    <row r="17" spans="1:12" x14ac:dyDescent="0.3">
      <c r="A17" s="20">
        <v>2016</v>
      </c>
      <c r="B17" s="55" t="s">
        <v>38</v>
      </c>
      <c r="C17" s="33" t="s">
        <v>40</v>
      </c>
      <c r="D17" s="1" t="s">
        <v>56</v>
      </c>
      <c r="E17" s="8">
        <v>5277</v>
      </c>
      <c r="F17" s="8" t="str">
        <f t="shared" si="1"/>
        <v>Eligible</v>
      </c>
      <c r="G17" s="12">
        <f t="shared" si="2"/>
        <v>0</v>
      </c>
      <c r="H17" s="8">
        <f t="shared" si="0"/>
        <v>5277</v>
      </c>
      <c r="I17" s="21">
        <v>45152</v>
      </c>
    </row>
    <row r="18" spans="1:12" ht="15" thickBot="1" x14ac:dyDescent="0.35">
      <c r="A18" s="20">
        <v>2017</v>
      </c>
      <c r="B18" s="55" t="s">
        <v>50</v>
      </c>
      <c r="C18" s="33" t="s">
        <v>42</v>
      </c>
      <c r="D18" s="1" t="s">
        <v>57</v>
      </c>
      <c r="E18" s="8">
        <v>41871</v>
      </c>
      <c r="F18" s="8" t="str">
        <f t="shared" si="1"/>
        <v>Eligible</v>
      </c>
      <c r="G18" s="12">
        <f t="shared" si="2"/>
        <v>0.1</v>
      </c>
      <c r="H18" s="8">
        <f t="shared" si="0"/>
        <v>41829.129000000001</v>
      </c>
      <c r="I18" s="21">
        <v>45167</v>
      </c>
    </row>
    <row r="19" spans="1:12" ht="15" thickBot="1" x14ac:dyDescent="0.35">
      <c r="A19" s="20">
        <v>2018</v>
      </c>
      <c r="B19" s="55" t="s">
        <v>50</v>
      </c>
      <c r="C19" s="33" t="s">
        <v>36</v>
      </c>
      <c r="D19" s="1" t="s">
        <v>58</v>
      </c>
      <c r="E19" s="8">
        <v>38161</v>
      </c>
      <c r="F19" s="8" t="str">
        <f t="shared" si="1"/>
        <v>Eligible</v>
      </c>
      <c r="G19" s="12">
        <f t="shared" si="2"/>
        <v>0.05</v>
      </c>
      <c r="H19" s="8">
        <f t="shared" si="0"/>
        <v>38141.919500000004</v>
      </c>
      <c r="I19" s="21">
        <v>45182</v>
      </c>
      <c r="K19" s="67">
        <v>2018</v>
      </c>
      <c r="L19" s="68" t="str" cm="1">
        <f t="array" ref="L19">IFERROR(INDEX(B2:B21, _xlfn.XMATCH(K19, A2:A21, 0)), "Product not found")</f>
        <v>Monitor</v>
      </c>
    </row>
    <row r="20" spans="1:12" ht="15" thickBot="1" x14ac:dyDescent="0.35">
      <c r="A20" s="20">
        <v>2019</v>
      </c>
      <c r="B20" s="55" t="s">
        <v>38</v>
      </c>
      <c r="C20" s="33" t="s">
        <v>36</v>
      </c>
      <c r="D20" s="1" t="s">
        <v>59</v>
      </c>
      <c r="E20" s="8">
        <v>30436</v>
      </c>
      <c r="F20" s="8" t="str">
        <f t="shared" si="1"/>
        <v>Eligible</v>
      </c>
      <c r="G20" s="12">
        <f t="shared" si="2"/>
        <v>0.05</v>
      </c>
      <c r="H20" s="8">
        <f t="shared" si="0"/>
        <v>30420.781999999999</v>
      </c>
      <c r="I20" s="21">
        <v>45197</v>
      </c>
    </row>
    <row r="21" spans="1:12" x14ac:dyDescent="0.3">
      <c r="A21" s="26">
        <v>2020</v>
      </c>
      <c r="B21" s="56" t="s">
        <v>35</v>
      </c>
      <c r="C21" s="38" t="s">
        <v>36</v>
      </c>
      <c r="D21" s="28" t="s">
        <v>60</v>
      </c>
      <c r="E21" s="39">
        <v>33953</v>
      </c>
      <c r="F21" s="39" t="str">
        <f t="shared" si="1"/>
        <v>Eligible</v>
      </c>
      <c r="G21" s="40">
        <f t="shared" si="2"/>
        <v>0.05</v>
      </c>
      <c r="H21" s="39">
        <f t="shared" si="0"/>
        <v>33936.023500000003</v>
      </c>
      <c r="I21" s="31"/>
      <c r="K21" s="79" t="s">
        <v>103</v>
      </c>
      <c r="L21" s="80"/>
    </row>
    <row r="22" spans="1:12" ht="15" thickBot="1" x14ac:dyDescent="0.35">
      <c r="K22" s="107" t="s">
        <v>112</v>
      </c>
      <c r="L22" s="108">
        <f ca="1">SUM(INDIRECT(K22,TRUE))</f>
        <v>96800</v>
      </c>
    </row>
    <row r="23" spans="1:12" x14ac:dyDescent="0.3">
      <c r="G23" s="61" t="s">
        <v>107</v>
      </c>
      <c r="H23" s="62" t="s">
        <v>108</v>
      </c>
      <c r="I23" s="63" t="s">
        <v>109</v>
      </c>
      <c r="K23" s="57" t="s">
        <v>111</v>
      </c>
      <c r="L23" s="57"/>
    </row>
    <row r="24" spans="1:12" ht="15" thickBot="1" x14ac:dyDescent="0.35">
      <c r="G24" s="64">
        <f>ROUND(H3,1)</f>
        <v>17424.5</v>
      </c>
      <c r="H24" s="65">
        <f>CEILING(H11,10)</f>
        <v>35170</v>
      </c>
      <c r="I24" s="66">
        <f>FLOOR(H14,10)</f>
        <v>15550</v>
      </c>
      <c r="K24" s="81" t="s">
        <v>104</v>
      </c>
      <c r="L24" s="82">
        <f ca="1">SUM(OFFSET(E2,0,0,COUNTA(E2:E21),1))</f>
        <v>507725</v>
      </c>
    </row>
  </sheetData>
  <mergeCells count="5">
    <mergeCell ref="K1:L1"/>
    <mergeCell ref="K5:L5"/>
    <mergeCell ref="K8:L8"/>
    <mergeCell ref="K21:L21"/>
    <mergeCell ref="K23:L23"/>
  </mergeCells>
  <dataValidations count="3">
    <dataValidation type="list" allowBlank="1" showInputMessage="1" showErrorMessage="1" sqref="H25" xr:uid="{E95ADF6D-4C71-4D11-AFB9-2A726391D7AD}">
      <formula1>_xlfn.UNIQUE(B2:B21)</formula1>
    </dataValidation>
    <dataValidation type="list" allowBlank="1" showInputMessage="1" showErrorMessage="1" sqref="K2" xr:uid="{69773A77-CCB4-41BF-AF9E-29509A2FF8CC}">
      <formula1>C3:C6</formula1>
    </dataValidation>
    <dataValidation type="list" allowBlank="1" showInputMessage="1" showErrorMessage="1" sqref="L2" xr:uid="{DC37BD6E-C4F7-4308-9465-0C56B0BE40E0}">
      <formula1>B2:B21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FCB5-C17D-4B75-A394-DFC54FA482B5}">
  <dimension ref="A1:H21"/>
  <sheetViews>
    <sheetView workbookViewId="0">
      <selection activeCell="E21" sqref="A1:E21"/>
    </sheetView>
  </sheetViews>
  <sheetFormatPr defaultColWidth="21.77734375" defaultRowHeight="14.4" x14ac:dyDescent="0.3"/>
  <sheetData>
    <row r="1" spans="1:8" ht="15" thickBot="1" x14ac:dyDescent="0.35">
      <c r="A1" s="23" t="s">
        <v>61</v>
      </c>
      <c r="B1" s="35" t="s">
        <v>0</v>
      </c>
      <c r="C1" s="36" t="s">
        <v>62</v>
      </c>
      <c r="D1" s="36" t="s">
        <v>63</v>
      </c>
      <c r="E1" s="41" t="s">
        <v>64</v>
      </c>
      <c r="G1" s="100" t="s">
        <v>102</v>
      </c>
      <c r="H1" s="101"/>
    </row>
    <row r="2" spans="1:8" x14ac:dyDescent="0.3">
      <c r="A2" s="9">
        <v>3001</v>
      </c>
      <c r="B2" s="32" t="s">
        <v>65</v>
      </c>
      <c r="C2" s="6" t="s">
        <v>66</v>
      </c>
      <c r="D2" s="7">
        <v>86766</v>
      </c>
      <c r="E2" s="15">
        <v>42005</v>
      </c>
      <c r="G2" s="43">
        <v>3011</v>
      </c>
      <c r="H2" s="44" t="str">
        <f>INDEX(A2:E21, MATCH(G2, A2:A21, 0), MATCH(G3, A1:E1, 0))</f>
        <v>Finance</v>
      </c>
    </row>
    <row r="3" spans="1:8" ht="15" thickBot="1" x14ac:dyDescent="0.35">
      <c r="A3" s="55">
        <v>3002</v>
      </c>
      <c r="B3" s="33" t="s">
        <v>67</v>
      </c>
      <c r="C3" s="1" t="s">
        <v>66</v>
      </c>
      <c r="D3" s="8">
        <v>31943</v>
      </c>
      <c r="E3" s="16">
        <v>42255</v>
      </c>
      <c r="G3" s="45" t="s">
        <v>62</v>
      </c>
      <c r="H3" s="46"/>
    </row>
    <row r="4" spans="1:8" x14ac:dyDescent="0.3">
      <c r="A4" s="55">
        <v>3003</v>
      </c>
      <c r="B4" s="33" t="s">
        <v>68</v>
      </c>
      <c r="C4" s="1" t="s">
        <v>69</v>
      </c>
      <c r="D4" s="8">
        <v>63374</v>
      </c>
      <c r="E4" s="16">
        <v>42505</v>
      </c>
    </row>
    <row r="5" spans="1:8" ht="15" thickBot="1" x14ac:dyDescent="0.35">
      <c r="A5" s="55">
        <v>3004</v>
      </c>
      <c r="B5" s="33" t="s">
        <v>70</v>
      </c>
      <c r="C5" s="1" t="s">
        <v>66</v>
      </c>
      <c r="D5" s="8">
        <v>109972</v>
      </c>
      <c r="E5" s="16">
        <v>42755</v>
      </c>
    </row>
    <row r="6" spans="1:8" x14ac:dyDescent="0.3">
      <c r="A6" s="55">
        <v>3005</v>
      </c>
      <c r="B6" s="33" t="s">
        <v>71</v>
      </c>
      <c r="C6" s="1" t="s">
        <v>72</v>
      </c>
      <c r="D6" s="8">
        <v>54149</v>
      </c>
      <c r="E6" s="16">
        <v>43005</v>
      </c>
      <c r="G6" s="47" t="str">
        <f>UPPER(C3)</f>
        <v>FINANCE</v>
      </c>
    </row>
    <row r="7" spans="1:8" x14ac:dyDescent="0.3">
      <c r="A7" s="55">
        <v>3006</v>
      </c>
      <c r="B7" s="33" t="s">
        <v>73</v>
      </c>
      <c r="C7" s="1" t="s">
        <v>72</v>
      </c>
      <c r="D7" s="8">
        <v>78689</v>
      </c>
      <c r="E7" s="16">
        <v>43255</v>
      </c>
      <c r="G7" s="48" t="str">
        <f>LOWER(B3)</f>
        <v>employee 2</v>
      </c>
    </row>
    <row r="8" spans="1:8" ht="15" thickBot="1" x14ac:dyDescent="0.35">
      <c r="A8" s="55">
        <v>3007</v>
      </c>
      <c r="B8" s="33" t="s">
        <v>74</v>
      </c>
      <c r="C8" s="1" t="s">
        <v>75</v>
      </c>
      <c r="D8" s="8">
        <v>35960</v>
      </c>
      <c r="E8" s="16">
        <v>43505</v>
      </c>
      <c r="G8" s="49" t="str">
        <f>LEFT(B5,3)</f>
        <v>Emp</v>
      </c>
    </row>
    <row r="9" spans="1:8" ht="15" thickBot="1" x14ac:dyDescent="0.35">
      <c r="A9" s="55">
        <v>3008</v>
      </c>
      <c r="B9" s="33" t="s">
        <v>76</v>
      </c>
      <c r="C9" s="1" t="s">
        <v>72</v>
      </c>
      <c r="D9" s="8">
        <v>91659</v>
      </c>
      <c r="E9" s="16">
        <v>43755</v>
      </c>
    </row>
    <row r="10" spans="1:8" ht="15" thickBot="1" x14ac:dyDescent="0.35">
      <c r="A10" s="55">
        <v>3009</v>
      </c>
      <c r="B10" s="33" t="s">
        <v>77</v>
      </c>
      <c r="C10" s="1" t="s">
        <v>72</v>
      </c>
      <c r="D10" s="8">
        <v>90423</v>
      </c>
      <c r="E10" s="16">
        <v>44005</v>
      </c>
      <c r="G10" s="50">
        <v>3010</v>
      </c>
      <c r="H10" s="51">
        <f>_xlfn.XLOOKUP(G10, A2:A21, D2:D21, "Not Found")</f>
        <v>107877</v>
      </c>
    </row>
    <row r="11" spans="1:8" ht="15" thickBot="1" x14ac:dyDescent="0.35">
      <c r="A11" s="55">
        <v>3010</v>
      </c>
      <c r="B11" s="33" t="s">
        <v>78</v>
      </c>
      <c r="C11" s="1" t="s">
        <v>69</v>
      </c>
      <c r="D11" s="8">
        <v>107877</v>
      </c>
      <c r="E11" s="16">
        <v>44255</v>
      </c>
    </row>
    <row r="12" spans="1:8" x14ac:dyDescent="0.3">
      <c r="A12" s="55">
        <v>3011</v>
      </c>
      <c r="B12" s="33" t="s">
        <v>79</v>
      </c>
      <c r="C12" s="1" t="s">
        <v>66</v>
      </c>
      <c r="D12" s="8">
        <v>107634</v>
      </c>
      <c r="E12" s="16">
        <v>44505</v>
      </c>
      <c r="G12" s="102" t="s">
        <v>105</v>
      </c>
      <c r="H12" s="103"/>
    </row>
    <row r="13" spans="1:8" ht="15" thickBot="1" x14ac:dyDescent="0.35">
      <c r="A13" s="55">
        <v>3012</v>
      </c>
      <c r="B13" s="33" t="s">
        <v>80</v>
      </c>
      <c r="C13" s="1" t="s">
        <v>66</v>
      </c>
      <c r="D13" s="8">
        <v>35226</v>
      </c>
      <c r="E13" s="16">
        <v>44755</v>
      </c>
      <c r="G13" s="45">
        <v>3009</v>
      </c>
      <c r="H13" s="52">
        <f ca="1">TODAY() - _xlfn.XLOOKUP(G13, A2:A21, E2:E21)</f>
        <v>1969</v>
      </c>
    </row>
    <row r="14" spans="1:8" ht="15" thickBot="1" x14ac:dyDescent="0.35">
      <c r="A14" s="55">
        <v>3013</v>
      </c>
      <c r="B14" s="33" t="s">
        <v>81</v>
      </c>
      <c r="C14" s="1" t="s">
        <v>69</v>
      </c>
      <c r="D14" s="8">
        <v>40872</v>
      </c>
      <c r="E14" s="16">
        <v>45005</v>
      </c>
      <c r="G14" s="14"/>
    </row>
    <row r="15" spans="1:8" x14ac:dyDescent="0.3">
      <c r="A15" s="55">
        <v>3014</v>
      </c>
      <c r="B15" s="33" t="s">
        <v>82</v>
      </c>
      <c r="C15" s="1" t="s">
        <v>69</v>
      </c>
      <c r="D15" s="8">
        <v>55378</v>
      </c>
      <c r="E15" s="16">
        <v>45255</v>
      </c>
      <c r="G15" s="104" t="s">
        <v>106</v>
      </c>
      <c r="H15" s="105"/>
    </row>
    <row r="16" spans="1:8" x14ac:dyDescent="0.3">
      <c r="A16" s="55">
        <v>3015</v>
      </c>
      <c r="B16" s="33" t="s">
        <v>83</v>
      </c>
      <c r="C16" s="1" t="s">
        <v>69</v>
      </c>
      <c r="D16" s="8">
        <v>63297</v>
      </c>
      <c r="E16" s="16">
        <v>45505</v>
      </c>
      <c r="G16" s="53">
        <v>42255</v>
      </c>
      <c r="H16" s="54">
        <v>42005</v>
      </c>
    </row>
    <row r="17" spans="1:8" ht="15" thickBot="1" x14ac:dyDescent="0.35">
      <c r="A17" s="55">
        <v>3016</v>
      </c>
      <c r="B17" s="33" t="s">
        <v>84</v>
      </c>
      <c r="C17" s="1" t="s">
        <v>66</v>
      </c>
      <c r="D17" s="8">
        <v>114173</v>
      </c>
      <c r="E17" s="16">
        <v>45755</v>
      </c>
      <c r="G17" s="45">
        <f>ABS(H16 - G16)</f>
        <v>250</v>
      </c>
      <c r="H17" s="46"/>
    </row>
    <row r="18" spans="1:8" x14ac:dyDescent="0.3">
      <c r="A18" s="55">
        <v>3017</v>
      </c>
      <c r="B18" s="33" t="s">
        <v>85</v>
      </c>
      <c r="C18" s="1" t="s">
        <v>69</v>
      </c>
      <c r="D18" s="8">
        <v>86915</v>
      </c>
      <c r="E18" s="16">
        <v>46005</v>
      </c>
    </row>
    <row r="19" spans="1:8" x14ac:dyDescent="0.3">
      <c r="A19" s="55">
        <v>3018</v>
      </c>
      <c r="B19" s="33" t="s">
        <v>86</v>
      </c>
      <c r="C19" s="1" t="s">
        <v>72</v>
      </c>
      <c r="D19" s="8">
        <v>116284</v>
      </c>
      <c r="E19" s="16">
        <v>46255</v>
      </c>
    </row>
    <row r="20" spans="1:8" x14ac:dyDescent="0.3">
      <c r="A20" s="55">
        <v>3019</v>
      </c>
      <c r="B20" s="33" t="s">
        <v>87</v>
      </c>
      <c r="C20" s="1" t="s">
        <v>75</v>
      </c>
      <c r="D20" s="8">
        <v>116283</v>
      </c>
      <c r="E20" s="16">
        <v>46505</v>
      </c>
    </row>
    <row r="21" spans="1:8" x14ac:dyDescent="0.3">
      <c r="A21" s="56">
        <v>3020</v>
      </c>
      <c r="B21" s="38" t="s">
        <v>88</v>
      </c>
      <c r="C21" s="28" t="s">
        <v>75</v>
      </c>
      <c r="D21" s="39">
        <v>99924</v>
      </c>
      <c r="E21" s="42">
        <v>46755</v>
      </c>
    </row>
  </sheetData>
  <mergeCells count="3">
    <mergeCell ref="G1:H1"/>
    <mergeCell ref="G12:H12"/>
    <mergeCell ref="G15:H1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</cp:lastModifiedBy>
  <dcterms:created xsi:type="dcterms:W3CDTF">2025-11-11T04:25:46Z</dcterms:created>
  <dcterms:modified xsi:type="dcterms:W3CDTF">2025-11-13T04:27:59Z</dcterms:modified>
</cp:coreProperties>
</file>