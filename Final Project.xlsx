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f9ee8d23019d6e39/Documents/"/>
    </mc:Choice>
  </mc:AlternateContent>
  <xr:revisionPtr revIDLastSave="252" documentId="8_{856148DE-1D35-4DCF-8017-715ED4758032}" xr6:coauthVersionLast="47" xr6:coauthVersionMax="47" xr10:uidLastSave="{C6D82874-E566-483E-AC47-CD21A653BA10}"/>
  <bookViews>
    <workbookView xWindow="-108" yWindow="-108" windowWidth="23256" windowHeight="13896" xr2:uid="{00000000-000D-0000-FFFF-FFFF00000000}"/>
  </bookViews>
  <sheets>
    <sheet name="RawData" sheetId="1" r:id="rId1"/>
    <sheet name="DataAnalysis" sheetId="2" r:id="rId2"/>
    <sheet name="Pivot Table" sheetId="17" r:id="rId3"/>
    <sheet name="DashBoard" sheetId="16" r:id="rId4"/>
  </sheets>
  <definedNames>
    <definedName name="Slicer_Months__Date">#N/A</definedName>
  </definedNames>
  <calcPr calcId="191029" iterate="1"/>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 i="2" l="1"/>
  <c r="L43" i="2" a="1"/>
  <c r="L43" i="2" s="1"/>
  <c r="I43" i="2" a="1"/>
  <c r="I43" i="2" s="1"/>
  <c r="N3" i="1"/>
  <c r="L35" i="2" s="1"/>
  <c r="N4" i="1"/>
  <c r="H6" i="2" s="1" a="1"/>
  <c r="H6" i="2" s="1"/>
  <c r="N5" i="1"/>
  <c r="N6" i="1"/>
  <c r="N7" i="1"/>
  <c r="N8" i="1"/>
  <c r="N9" i="1"/>
  <c r="N10" i="1"/>
  <c r="N11" i="1"/>
  <c r="N12" i="1"/>
  <c r="N13" i="1"/>
  <c r="N14" i="1"/>
  <c r="N15" i="1"/>
  <c r="N16" i="1"/>
  <c r="N17" i="1"/>
  <c r="N18" i="1"/>
  <c r="N19" i="1"/>
  <c r="N20" i="1"/>
  <c r="N21" i="1"/>
  <c r="N22" i="1"/>
  <c r="N23" i="1"/>
  <c r="N24" i="1"/>
  <c r="N25" i="1"/>
  <c r="N26" i="1"/>
  <c r="N27" i="1"/>
  <c r="J6" i="2" s="1" a="1"/>
  <c r="J6" i="2" s="1"/>
  <c r="N28" i="1"/>
  <c r="N29" i="1"/>
  <c r="N30" i="1"/>
  <c r="N31" i="1"/>
  <c r="N32" i="1"/>
  <c r="N33" i="1"/>
  <c r="N34" i="1"/>
  <c r="N35" i="1"/>
  <c r="N36" i="1"/>
  <c r="N37" i="1"/>
  <c r="N38" i="1"/>
  <c r="N39" i="1"/>
  <c r="N40" i="1"/>
  <c r="N41" i="1"/>
  <c r="N42" i="1"/>
  <c r="N43" i="1"/>
  <c r="N44" i="1"/>
  <c r="N45" i="1"/>
  <c r="N46" i="1"/>
  <c r="N47" i="1"/>
  <c r="N48" i="1"/>
  <c r="N49" i="1"/>
  <c r="N50" i="1"/>
  <c r="N51" i="1"/>
  <c r="I35" i="2" s="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 i="1"/>
  <c r="R7" i="2"/>
  <c r="R5" i="2"/>
  <c r="R4" i="2"/>
  <c r="M8"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<sst xmlns="http://schemas.openxmlformats.org/spreadsheetml/2006/main" count="2455" uniqueCount="493">
  <si>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</si>
  <si>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</si>
  <si>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</si>
  <si>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</si>
  <si>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</si>
  <si>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</si>
  <si>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</si>
  <si>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</si>
  <si>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</si>
  <si>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</si>
  <si>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</si>
  <si>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</si>
  <si>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</si>
  <si>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</si>
  <si>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</si>
  <si>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</si>
  <si>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</si>
  <si>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</si>
  <si>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</si>
  <si>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</si>
  <si>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</si>
  <si>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</si>
  <si>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</si>
  <si>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</si>
  <si>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</si>
  <si>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</si>
  <si>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</si>
  <si>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</si>
  <si>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</si>
  <si>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</si>
  <si>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</si>
  <si>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</si>
  <si>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</si>
  <si>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</si>
  <si>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</si>
  <si>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</si>
  <si>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</si>
  <si>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</si>
  <si>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</si>
  <si>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</si>
  <si>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</si>
  <si>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</si>
  <si>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</si>
  <si>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</si>
  <si>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</si>
  <si>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</si>
  <si>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</si>
  <si>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</si>
  <si>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</si>
  <si>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</si>
  <si>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</si>
  <si>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</si>
  <si>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</si>
  <si>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</si>
  <si>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</si>
  <si>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</si>
  <si>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</si>
  <si>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</si>
  <si>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</si>
  <si>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</si>
  <si>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</si>
  <si>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</si>
  <si>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</si>
  <si>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</si>
  <si>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</si>
  <si>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</si>
  <si>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</si>
  <si>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</si>
  <si>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</si>
  <si>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</si>
  <si>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</si>
  <si>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</si>
  <si>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</si>
  <si>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</si>
  <si>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</si>
  <si>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</si>
  <si>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</si>
  <si>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</si>
  <si>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</si>
  <si>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</si>
  <si>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</si>
  <si>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</si>
  <si>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</si>
  <si>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</si>
  <si>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</si>
  <si>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</si>
  <si>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</si>
  <si>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</si>
  <si>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</si>
  <si>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</si>
  <si>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</si>
  <si>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</si>
  <si>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</si>
  <si>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</si>
  <si>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</si>
  <si>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</si>
  <si>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</si>
  <si>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</si>
  <si>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</si>
  <si>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</si>
  <si>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</si>
  <si>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</si>
  <si>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</si>
  <si>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</si>
  <si>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</si>
  <si>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</si>
  <si>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</si>
  <si>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</si>
  <si>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</si>
  <si>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</si>
  <si>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</si>
  <si>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</si>
  <si>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</si>
  <si>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</si>
  <si>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</si>
  <si>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</si>
  <si>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</si>
  <si>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</si>
  <si>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</si>
  <si>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</si>
  <si>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</si>
  <si>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</si>
  <si>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</si>
  <si>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</si>
  <si>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</si>
  <si>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</si>
  <si>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</si>
  <si>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</si>
  <si>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</si>
  <si>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</si>
  <si>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</si>
  <si>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</si>
  <si>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</si>
  <si>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</si>
  <si>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</si>
  <si>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</si>
  <si>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</si>
  <si>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</si>
  <si>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</si>
  <si>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</si>
  <si>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</si>
  <si>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</si>
  <si>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</si>
  <si>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</si>
  <si>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</si>
  <si>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</si>
  <si>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</si>
  <si>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</si>
  <si>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</si>
  <si>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</si>
  <si>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</si>
  <si>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</si>
  <si>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</si>
  <si>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</si>
  <si>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</si>
  <si>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</si>
  <si>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</si>
  <si>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</si>
  <si>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</si>
  <si>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</si>
  <si>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</si>
  <si>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</si>
  <si>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</si>
  <si>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</si>
  <si>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</si>
  <si>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</si>
  <si>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</si>
  <si>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</si>
  <si>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</si>
  <si>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</si>
  <si>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</si>
  <si>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</si>
  <si>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</si>
  <si>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</si>
  <si>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</si>
  <si>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</si>
  <si>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</si>
  <si>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</si>
  <si>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</si>
  <si>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</si>
  <si>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</si>
  <si>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</si>
  <si>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</si>
  <si>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</si>
  <si>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</si>
  <si>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</si>
  <si>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</si>
  <si>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</si>
  <si>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</si>
  <si>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</si>
  <si>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</si>
  <si>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</si>
  <si>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</si>
  <si>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</si>
  <si>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</si>
  <si>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</si>
  <si>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</si>
  <si>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</si>
  <si>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</si>
  <si>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</si>
  <si>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</si>
  <si>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</si>
  <si>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</si>
  <si>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</si>
  <si>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</si>
  <si>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</si>
  <si>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</si>
  <si>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</si>
  <si>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</si>
  <si>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</si>
  <si>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</si>
  <si>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</si>
  <si>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</si>
  <si>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</si>
  <si>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</si>
  <si>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</si>
  <si>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</si>
  <si>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</si>
  <si>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</si>
  <si>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</si>
  <si>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</si>
  <si>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</si>
  <si>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</si>
  <si>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</si>
  <si>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</si>
  <si>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</si>
  <si>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</si>
  <si>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</si>
  <si>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</si>
  <si>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</si>
  <si>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</si>
  <si>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</si>
  <si>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</si>
  <si>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</si>
  <si>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</si>
  <si>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</si>
  <si>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</si>
  <si>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</si>
  <si>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</si>
  <si>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</si>
  <si>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</si>
  <si>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</si>
  <si>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</si>
  <si>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</si>
  <si>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</si>
  <si>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</si>
  <si>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</si>
  <si>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</si>
  <si>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</si>
  <si>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</si>
  <si>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</si>
  <si>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</si>
  <si>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</si>
  <si>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</si>
  <si>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</si>
  <si>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</si>
  <si>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</si>
  <si>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</si>
  <si>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</si>
  <si>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</si>
  <si>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</si>
  <si>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</si>
  <si>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</si>
  <si>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</si>
  <si>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</si>
  <si>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</si>
  <si>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</si>
  <si>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</si>
  <si>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</si>
  <si>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</si>
  <si>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</si>
  <si>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</si>
  <si>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</si>
  <si>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</si>
  <si>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</si>
  <si>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</si>
  <si>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</si>
  <si>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</si>
  <si>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</si>
  <si>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</si>
  <si>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</si>
  <si>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</si>
  <si>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</si>
  <si>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</si>
  <si>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</si>
  <si>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</si>
  <si>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</si>
  <si>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</si>
  <si>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</si>
  <si>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</si>
  <si>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</si>
  <si>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</si>
  <si>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</si>
  <si>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</si>
  <si>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</si>
  <si>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</si>
  <si>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</si>
  <si>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</si>
  <si>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</si>
  <si>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</si>
  <si>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</si>
  <si>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</si>
  <si>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</si>
  <si>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</si>
  <si>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</si>
  <si>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</si>
  <si>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</si>
  <si>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</si>
  <si>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</si>
  <si>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</si>
  <si>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</si>
  <si>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</si>
  <si>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</si>
  <si>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</si>
  <si>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</si>
  <si>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</si>
  <si>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</si>
  <si>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</si>
  <si>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</si>
  <si>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</si>
  <si>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</si>
  <si>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</si>
  <si>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</si>
  <si>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</si>
  <si>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</si>
  <si>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</si>
  <si>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</si>
  <si>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</si>
  <si>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</si>
  <si>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</si>
  <si>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</si>
  <si>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</si>
  <si>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</si>
  <si>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</si>
  <si>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</si>
  <si>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</si>
  <si>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</si>
  <si>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</si>
  <si>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</si>
  <si>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</si>
  <si>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</si>
  <si>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</si>
  <si>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</si>
  <si>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</si>
  <si>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</si>
  <si>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</si>
  <si>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</si>
  <si>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</si>
  <si>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</si>
  <si>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</si>
  <si>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</si>
  <si>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</si>
  <si>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</si>
  <si>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</si>
  <si>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</si>
  <si>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</si>
  <si>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</si>
  <si>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</si>
  <si>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</si>
  <si>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</si>
  <si>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</si>
  <si>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</si>
  <si>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</si>
  <si>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</si>
  <si>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</si>
  <si>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</si>
  <si>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</si>
  <si>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</si>
  <si>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</si>
  <si>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</si>
  <si>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</si>
  <si>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</si>
  <si>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</si>
  <si>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</si>
  <si>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</si>
  <si>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</si>
  <si>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</si>
  <si>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</si>
  <si>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</si>
  <si>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</si>
  <si>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</si>
  <si>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</si>
  <si>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</si>
  <si>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</si>
  <si>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</si>
  <si>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</si>
  <si>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</si>
  <si>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</si>
  <si>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</si>
  <si>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</si>
  <si>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</si>
  <si>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</si>
  <si>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</si>
  <si>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</si>
  <si>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</si>
  <si>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</si>
  <si>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</si>
  <si>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</si>
  <si>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</si>
  <si>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Date and Time Functions</t>
  </si>
  <si>
    <t xml:space="preserve">Today </t>
  </si>
  <si>
    <t>Now</t>
  </si>
  <si>
    <t>DateDIF</t>
  </si>
  <si>
    <t>EOMONTH</t>
  </si>
  <si>
    <t>FILTER Function Returning Multiple Value</t>
  </si>
  <si>
    <t>Filter by Category</t>
  </si>
  <si>
    <t>Filter by Region</t>
  </si>
  <si>
    <t>Conditional Formating</t>
  </si>
  <si>
    <t xml:space="preserve">Top 10 -Highlighted With Red </t>
  </si>
  <si>
    <t>Bottom 10 - Highlighted With Yellow</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</si>
  <si>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</si>
  <si>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</si>
  <si>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</si>
  <si>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</si>
  <si>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</si>
  <si>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</si>
  <si>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</si>
  <si>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</si>
  <si>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</si>
  <si>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</si>
  <si>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</si>
  <si>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</si>
  <si>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</si>
  <si>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</si>
  <si>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</si>
  <si>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</si>
  <si>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</si>
  <si>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</si>
  <si>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</si>
  <si>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</si>
  <si>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</si>
  <si>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</si>
  <si>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</si>
  <si>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</si>
  <si>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</si>
  <si>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Linear Regression Using Data Analysis ToolPack</t>
  </si>
  <si>
    <t>$I$2</t>
  </si>
  <si>
    <t>$I$3</t>
  </si>
  <si>
    <t>$I$4</t>
  </si>
  <si>
    <t>$I$5</t>
  </si>
  <si>
    <t>$I$7</t>
  </si>
  <si>
    <t>$I$8</t>
  </si>
  <si>
    <t>$I$9</t>
  </si>
  <si>
    <t>$I$10</t>
  </si>
  <si>
    <t>$P$2</t>
  </si>
  <si>
    <t>High Price</t>
  </si>
  <si>
    <t xml:space="preserve">Created by Gopi
</t>
  </si>
  <si>
    <t>Low Price</t>
  </si>
  <si>
    <t xml:space="preserve">Created by Gopi
</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</si>
  <si>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</si>
  <si>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</si>
  <si>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</si>
  <si>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</si>
  <si>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</si>
  <si>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</si>
  <si>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</si>
  <si>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 xml:space="preserve"> </t>
  </si>
  <si>
    <t>Total Revenue Per Customer_ID</t>
  </si>
  <si>
    <t>Total Revenue Per Product_ID</t>
  </si>
  <si>
    <t>GroupBy concepts to find High-Value Customers using formulas</t>
  </si>
  <si>
    <t>Most Frequently purchased Product</t>
  </si>
  <si>
    <t>Most frequently Purchased Product_ID</t>
  </si>
  <si>
    <t>FREQUENTLY PURCHASED PRODUCTS</t>
  </si>
  <si>
    <t>Text Abbreviation</t>
  </si>
  <si>
    <t>Row Labels</t>
  </si>
  <si>
    <t>Grand Total</t>
  </si>
  <si>
    <t>Sum of Total_Amount</t>
  </si>
  <si>
    <t>Sum of Quantity</t>
  </si>
  <si>
    <t>Jan</t>
  </si>
  <si>
    <t>Feb</t>
  </si>
  <si>
    <t>Mar</t>
  </si>
  <si>
    <t>Apr</t>
  </si>
  <si>
    <t>May</t>
  </si>
  <si>
    <t>Jun</t>
  </si>
  <si>
    <t>Jul</t>
  </si>
  <si>
    <t>Aug</t>
  </si>
  <si>
    <t>Sep</t>
  </si>
  <si>
    <t>Oct</t>
  </si>
  <si>
    <t>Nov</t>
  </si>
  <si>
    <t>Dec</t>
  </si>
  <si>
    <t>WHATIF Analysis (Scenario Manager) :- I created two scenarios - High price And Low price by chaning only unit price cell and the total amount chaned autoamtically.                                                                                                (Goal Seek) :- Goal Seek was done using cells H9 and N9  , where Quantity (H9) was the value that Goal Seek Adjusted to reach a target amount in (N9).</t>
  </si>
  <si>
    <t>Sales By Payment Method</t>
  </si>
  <si>
    <t>Product Wise Total Quantity Sold</t>
  </si>
  <si>
    <t>Region Wise Sales Performance</t>
  </si>
  <si>
    <t>Monthly Revenue Trend</t>
  </si>
  <si>
    <t>PIVOT TABLES</t>
  </si>
  <si>
    <t>DASHBOARD</t>
  </si>
  <si>
    <t>MONTHLY REVENUE TREND</t>
  </si>
  <si>
    <t>This function is not working in my excel version</t>
  </si>
  <si>
    <t>Time Stamp(NOW &amp; Iterative)</t>
  </si>
  <si>
    <t>Changing cell</t>
  </si>
  <si>
    <t>Hello</t>
  </si>
  <si>
    <t>Time Stamp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</si>
</sst>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71" formatCode="yyyy\-mm\-dd\ hh:mm:ss"/>
  </numFmts>
  <fonts count="18" x14ac:knownFonts="1">
    <font>
      <sz val="11"/>
      <color theme="1"/>
      <name val="Trebuchet MS"/>
      <family val="2"/>
      <scheme val="minor"/>
    </font>
    <font>
      <b/>
      <sz val="11"/>
      <color theme="1"/>
      <name val="Trebuchet MS"/>
      <family val="2"/>
      <scheme val="minor"/>
    </font>
    <font>
      <i/>
      <sz val="11"/>
      <color theme="1"/>
      <name val="Trebuchet MS"/>
      <family val="2"/>
      <scheme val="minor"/>
    </font>
    <font>
      <b/>
      <sz val="12"/>
      <color indexed="9"/>
      <name val="Trebuchet MS"/>
      <family val="2"/>
      <scheme val="minor"/>
    </font>
    <font>
      <b/>
      <sz val="11"/>
      <color indexed="8"/>
      <name val="Trebuchet MS"/>
      <family val="2"/>
      <scheme val="minor"/>
    </font>
    <font>
      <b/>
      <sz val="11"/>
      <color indexed="18"/>
      <name val="Trebuchet MS"/>
      <family val="2"/>
      <scheme val="minor"/>
    </font>
    <font>
      <sz val="10"/>
      <color indexed="9"/>
      <name val="Trebuchet MS"/>
      <family val="2"/>
      <scheme val="minor"/>
    </font>
    <font>
      <sz val="8"/>
      <color theme="1"/>
      <name val="Trebuchet MS"/>
      <family val="2"/>
      <scheme val="minor"/>
    </font>
    <font>
      <sz val="11"/>
      <color theme="1"/>
      <name val="Trebuchet MS"/>
      <family val="2"/>
      <scheme val="minor"/>
    </font>
    <font>
      <sz val="18"/>
      <color theme="3"/>
      <name val="Trebuchet MS"/>
      <family val="2"/>
      <scheme val="major"/>
    </font>
    <font>
      <b/>
      <sz val="11"/>
      <color theme="0"/>
      <name val="Trebuchet MS"/>
      <family val="2"/>
      <scheme val="minor"/>
    </font>
    <font>
      <sz val="11"/>
      <color theme="0"/>
      <name val="Trebuchet MS"/>
      <family val="2"/>
      <scheme val="minor"/>
    </font>
    <font>
      <b/>
      <sz val="16"/>
      <color theme="1"/>
      <name val="Trebuchet MS"/>
      <family val="2"/>
      <scheme val="minor"/>
    </font>
    <font>
      <b/>
      <sz val="20"/>
      <color theme="1"/>
      <name val="Trebuchet MS"/>
      <family val="2"/>
      <scheme val="minor"/>
    </font>
    <font>
      <b/>
      <sz val="14"/>
      <color theme="1"/>
      <name val="Trebuchet MS"/>
      <family val="2"/>
      <scheme val="minor"/>
    </font>
    <font>
      <b/>
      <sz val="26"/>
      <color theme="0" tint="-0.14999847407452621"/>
      <name val="Trebuchet MS"/>
      <family val="2"/>
      <scheme val="minor"/>
    </font>
    <font>
      <b/>
      <sz val="20"/>
      <color theme="1"/>
      <name val="Trebuchet MS"/>
      <family val="1"/>
      <scheme val="minor"/>
    </font>
    <font>
      <sz val="11"/>
      <color theme="1"/>
      <name val="Arial"/>
      <family val="2"/>
    </font>
  </fonts>
  <fills count="38">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4"/>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patternFill>
    </fill>
    <fill>
      <patternFill patternType="solid">
        <fgColor theme="6" tint="0.39997558519241921"/>
        <bgColor indexed="65"/>
      </patternFill>
    </fill>
    <fill>
      <patternFill patternType="solid">
        <fgColor theme="9"/>
      </patternFill>
    </fill>
    <fill>
      <patternFill patternType="solid">
        <fgColor theme="9" tint="0.39997558519241921"/>
        <bgColor indexed="65"/>
      </patternFill>
    </fill>
    <fill>
      <patternFill patternType="solid">
        <fgColor rgb="FF002060"/>
        <bgColor indexed="64"/>
      </patternFill>
    </fill>
    <fill>
      <patternFill patternType="solid">
        <fgColor theme="9" tint="-0.249977111117893"/>
        <bgColor indexed="64"/>
      </patternFill>
    </fill>
    <fill>
      <patternFill patternType="solid">
        <fgColor rgb="FF982853"/>
        <bgColor indexed="64"/>
      </patternFill>
    </fill>
    <fill>
      <patternFill patternType="solid">
        <fgColor rgb="FFDC7E7E"/>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1D5E93"/>
        <bgColor indexed="64"/>
      </patternFill>
    </fill>
    <fill>
      <patternFill patternType="solid">
        <fgColor rgb="FF3E8244"/>
        <bgColor indexed="64"/>
      </patternFill>
    </fill>
    <fill>
      <patternFill patternType="solid">
        <fgColor rgb="FF4778E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8"/>
        <bgColor indexed="64"/>
      </patternFill>
    </fill>
    <fill>
      <patternFill patternType="solid">
        <fgColor rgb="FFA0E4AF"/>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3" tint="0.39997558519241921"/>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5" tint="0.79998168889431442"/>
        <bgColor indexed="64"/>
      </patternFill>
    </fill>
  </fills>
  <borders count="42">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9">
    <xf numFmtId="0" fontId="0" fillId="0" borderId="0"/>
    <xf numFmtId="0" fontId="9" fillId="0" borderId="0" applyNumberFormat="0" applyFill="0" applyBorder="0" applyAlignment="0" applyProtection="0"/>
    <xf numFmtId="0" fontId="8"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cellStyleXfs>
  <cellXfs count="209">
    <xf numFmtId="0" fontId="0" fillId="0" borderId="0" xfId="0"/>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2" fontId="0" fillId="0" borderId="1" xfId="0" applyNumberFormat="1" applyBorder="1" applyAlignment="1">
      <alignment horizontal="center" vertical="center" wrapText="1"/>
    </xf>
    <xf numFmtId="2" fontId="0" fillId="0" borderId="0" xfId="0" applyNumberFormat="1"/>
    <xf numFmtId="0" fontId="3" fillId="2" borderId="13" xfId="0" applyFont="1" applyFill="1" applyBorder="1" applyAlignment="1">
      <alignment horizontal="left" vertical="center"/>
    </xf>
    <xf numFmtId="0" fontId="3" fillId="2" borderId="3" xfId="0" applyFont="1" applyFill="1" applyBorder="1" applyAlignment="1">
      <alignment horizontal="left" vertical="center"/>
    </xf>
    <xf numFmtId="0" fontId="0" fillId="0" borderId="6" xfId="0" applyBorder="1" applyAlignment="1">
      <alignment horizontal="left" vertical="center"/>
    </xf>
    <xf numFmtId="0" fontId="4" fillId="3" borderId="5" xfId="0" applyFont="1" applyFill="1" applyBorder="1" applyAlignment="1">
      <alignment horizontal="left" vertical="center"/>
    </xf>
    <xf numFmtId="0" fontId="0" fillId="0" borderId="5" xfId="0" applyBorder="1" applyAlignment="1">
      <alignment horizontal="left" vertical="center"/>
    </xf>
    <xf numFmtId="0" fontId="0" fillId="0" borderId="14" xfId="0" applyBorder="1" applyAlignment="1">
      <alignment horizontal="left" vertical="center"/>
    </xf>
    <xf numFmtId="0" fontId="0" fillId="0" borderId="15" xfId="0" applyBorder="1" applyAlignment="1">
      <alignment horizontal="left" vertical="center"/>
    </xf>
    <xf numFmtId="0" fontId="0" fillId="0" borderId="16" xfId="0" applyBorder="1" applyAlignment="1">
      <alignment horizontal="left" vertical="center"/>
    </xf>
    <xf numFmtId="0" fontId="1" fillId="0" borderId="0" xfId="0" applyFont="1" applyAlignment="1">
      <alignment horizontal="center"/>
    </xf>
    <xf numFmtId="0" fontId="11" fillId="7" borderId="5" xfId="3" applyBorder="1"/>
    <xf numFmtId="0" fontId="11" fillId="7" borderId="6" xfId="3" applyBorder="1"/>
    <xf numFmtId="14" fontId="8" fillId="7" borderId="7" xfId="3" applyNumberFormat="1" applyFont="1" applyBorder="1" applyAlignment="1">
      <alignment horizontal="center" vertical="center"/>
    </xf>
    <xf numFmtId="14" fontId="8" fillId="7" borderId="8" xfId="3" applyNumberFormat="1" applyFont="1" applyBorder="1" applyAlignment="1">
      <alignment horizontal="center" vertical="center"/>
    </xf>
    <xf numFmtId="0" fontId="8" fillId="7" borderId="7" xfId="3" applyFont="1" applyBorder="1" applyAlignment="1">
      <alignment horizontal="center" vertical="center"/>
    </xf>
    <xf numFmtId="22" fontId="8" fillId="7" borderId="8" xfId="3" applyNumberFormat="1" applyFont="1" applyBorder="1" applyAlignment="1">
      <alignment horizontal="center" vertical="center"/>
    </xf>
    <xf numFmtId="0" fontId="8" fillId="7" borderId="9" xfId="3" applyFont="1" applyBorder="1" applyAlignment="1">
      <alignment horizontal="center" vertical="center"/>
    </xf>
    <xf numFmtId="0" fontId="8" fillId="7" borderId="10" xfId="3" applyFont="1" applyBorder="1" applyAlignment="1">
      <alignment horizontal="center" vertical="center"/>
    </xf>
    <xf numFmtId="0" fontId="8" fillId="12" borderId="7" xfId="8" applyFont="1" applyBorder="1"/>
    <xf numFmtId="0" fontId="8" fillId="12" borderId="2" xfId="8" applyFont="1" applyBorder="1"/>
    <xf numFmtId="0" fontId="8" fillId="12" borderId="8" xfId="8" applyFont="1" applyBorder="1"/>
    <xf numFmtId="0" fontId="8" fillId="12" borderId="9" xfId="8" applyFont="1" applyBorder="1"/>
    <xf numFmtId="164" fontId="8" fillId="12" borderId="26" xfId="8" applyNumberFormat="1" applyFont="1" applyBorder="1"/>
    <xf numFmtId="0" fontId="8" fillId="12" borderId="26" xfId="8" applyFont="1" applyBorder="1"/>
    <xf numFmtId="164" fontId="8" fillId="12" borderId="10" xfId="8" applyNumberFormat="1" applyFont="1" applyBorder="1"/>
    <xf numFmtId="0" fontId="3" fillId="2" borderId="0" xfId="0" applyFont="1" applyFill="1" applyAlignment="1">
      <alignment horizontal="left" vertical="center"/>
    </xf>
    <xf numFmtId="0" fontId="6" fillId="2" borderId="0" xfId="0" applyFont="1" applyFill="1" applyAlignment="1">
      <alignment horizontal="left" vertical="center"/>
    </xf>
    <xf numFmtId="0" fontId="0" fillId="0" borderId="0" xfId="0" applyAlignment="1">
      <alignment horizontal="left" vertical="center"/>
    </xf>
    <xf numFmtId="0" fontId="4" fillId="3" borderId="0" xfId="0" applyFont="1" applyFill="1" applyAlignment="1">
      <alignment horizontal="left" vertical="center"/>
    </xf>
    <xf numFmtId="0" fontId="7" fillId="0" borderId="0" xfId="0" applyFont="1" applyAlignment="1">
      <alignment horizontal="left" vertical="center" wrapText="1"/>
    </xf>
    <xf numFmtId="0" fontId="5" fillId="3" borderId="0" xfId="0" applyFont="1" applyFill="1" applyAlignment="1">
      <alignment horizontal="left" vertical="center"/>
    </xf>
    <xf numFmtId="0" fontId="0" fillId="4" borderId="0" xfId="0" applyFill="1" applyAlignment="1">
      <alignment horizontal="left" vertical="center"/>
    </xf>
    <xf numFmtId="0" fontId="6" fillId="2" borderId="13" xfId="0" applyFont="1" applyFill="1" applyBorder="1" applyAlignment="1">
      <alignment horizontal="left" vertical="center"/>
    </xf>
    <xf numFmtId="0" fontId="6" fillId="2" borderId="4" xfId="0" applyFont="1" applyFill="1" applyBorder="1" applyAlignment="1">
      <alignment horizontal="left" vertical="center"/>
    </xf>
    <xf numFmtId="0" fontId="3" fillId="2" borderId="5" xfId="0" applyFont="1" applyFill="1" applyBorder="1" applyAlignment="1">
      <alignment horizontal="left" vertical="center"/>
    </xf>
    <xf numFmtId="0" fontId="6" fillId="2" borderId="6" xfId="0" applyFont="1" applyFill="1" applyBorder="1" applyAlignment="1">
      <alignment horizontal="left" vertical="center"/>
    </xf>
    <xf numFmtId="0" fontId="7" fillId="0" borderId="6" xfId="0" applyFont="1" applyBorder="1" applyAlignment="1">
      <alignment horizontal="left" vertical="center" wrapText="1"/>
    </xf>
    <xf numFmtId="0" fontId="5" fillId="3" borderId="5" xfId="0" applyFont="1" applyFill="1" applyBorder="1" applyAlignment="1">
      <alignment horizontal="left" vertical="center"/>
    </xf>
    <xf numFmtId="0" fontId="0" fillId="4" borderId="6" xfId="0" applyFill="1" applyBorder="1" applyAlignment="1">
      <alignment horizontal="left" vertical="center"/>
    </xf>
    <xf numFmtId="0" fontId="8" fillId="20" borderId="2" xfId="6" applyFont="1" applyFill="1" applyBorder="1" applyAlignment="1">
      <alignment horizontal="center"/>
    </xf>
    <xf numFmtId="0" fontId="0" fillId="0" borderId="32" xfId="0" applyBorder="1" applyAlignment="1">
      <alignment horizontal="center" vertical="center" wrapText="1"/>
    </xf>
    <xf numFmtId="2" fontId="0" fillId="0" borderId="33" xfId="0" applyNumberFormat="1" applyBorder="1" applyAlignment="1">
      <alignment horizontal="center" vertical="center" wrapText="1"/>
    </xf>
    <xf numFmtId="0" fontId="1" fillId="0" borderId="34" xfId="0" applyFont="1" applyBorder="1" applyAlignment="1">
      <alignment horizontal="center" vertical="center" wrapText="1"/>
    </xf>
    <xf numFmtId="0" fontId="1" fillId="0" borderId="35" xfId="0" applyFont="1" applyBorder="1" applyAlignment="1">
      <alignment horizontal="center" vertical="center" wrapText="1"/>
    </xf>
    <xf numFmtId="2" fontId="1" fillId="0" borderId="35" xfId="0" applyNumberFormat="1" applyFont="1" applyBorder="1" applyAlignment="1">
      <alignment horizontal="center" vertical="center" wrapText="1"/>
    </xf>
    <xf numFmtId="2" fontId="1" fillId="0" borderId="36" xfId="0" applyNumberFormat="1" applyFont="1" applyBorder="1" applyAlignment="1">
      <alignment horizontal="center" vertical="center" wrapText="1"/>
    </xf>
    <xf numFmtId="0" fontId="0" fillId="0" borderId="37" xfId="0" applyBorder="1" applyAlignment="1">
      <alignment horizontal="center"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2" fontId="0" fillId="0" borderId="38" xfId="0" applyNumberFormat="1" applyBorder="1" applyAlignment="1">
      <alignment horizontal="center" vertical="center" wrapText="1"/>
    </xf>
    <xf numFmtId="2" fontId="0" fillId="0" borderId="39" xfId="0" applyNumberFormat="1" applyBorder="1" applyAlignment="1">
      <alignment horizontal="center" vertical="center" wrapText="1"/>
    </xf>
    <xf numFmtId="0" fontId="0" fillId="24" borderId="5" xfId="0" applyFill="1" applyBorder="1"/>
    <xf numFmtId="0" fontId="0" fillId="24" borderId="0" xfId="0" applyFill="1"/>
    <xf numFmtId="0" fontId="0" fillId="24" borderId="6" xfId="0" applyFill="1" applyBorder="1"/>
    <xf numFmtId="0" fontId="2" fillId="24" borderId="22" xfId="0" applyFont="1" applyFill="1" applyBorder="1" applyAlignment="1">
      <alignment horizontal="centerContinuous"/>
    </xf>
    <xf numFmtId="0" fontId="2" fillId="24" borderId="21" xfId="0" applyFont="1" applyFill="1" applyBorder="1" applyAlignment="1">
      <alignment horizontal="centerContinuous"/>
    </xf>
    <xf numFmtId="0" fontId="0" fillId="24" borderId="14" xfId="0" applyFill="1" applyBorder="1"/>
    <xf numFmtId="0" fontId="0" fillId="24" borderId="15" xfId="0" applyFill="1" applyBorder="1"/>
    <xf numFmtId="0" fontId="2" fillId="24" borderId="22" xfId="0" applyFont="1" applyFill="1" applyBorder="1" applyAlignment="1">
      <alignment horizontal="center"/>
    </xf>
    <xf numFmtId="0" fontId="2" fillId="24" borderId="21" xfId="0" applyFont="1" applyFill="1" applyBorder="1" applyAlignment="1">
      <alignment horizontal="center"/>
    </xf>
    <xf numFmtId="0" fontId="0" fillId="24" borderId="16" xfId="0" applyFill="1" applyBorder="1"/>
    <xf numFmtId="0" fontId="0" fillId="26" borderId="5" xfId="0" applyFill="1" applyBorder="1"/>
    <xf numFmtId="0" fontId="0" fillId="26" borderId="6" xfId="0" applyFill="1" applyBorder="1"/>
    <xf numFmtId="0" fontId="0" fillId="0" borderId="11" xfId="0" applyBorder="1" applyAlignment="1">
      <alignment horizontal="center" vertical="center"/>
    </xf>
    <xf numFmtId="164" fontId="0" fillId="0" borderId="12" xfId="0" applyNumberFormat="1" applyBorder="1" applyAlignment="1">
      <alignment horizontal="center" vertical="center"/>
    </xf>
    <xf numFmtId="0" fontId="0" fillId="0" borderId="5" xfId="0" applyBorder="1" applyAlignment="1">
      <alignment horizontal="center" vertical="center"/>
    </xf>
    <xf numFmtId="164" fontId="0" fillId="0" borderId="6" xfId="0" applyNumberFormat="1" applyBorder="1" applyAlignment="1">
      <alignment horizontal="center" vertical="center"/>
    </xf>
    <xf numFmtId="0" fontId="0" fillId="0" borderId="12" xfId="0" applyBorder="1" applyAlignment="1">
      <alignment horizontal="center" vertical="center"/>
    </xf>
    <xf numFmtId="1" fontId="0" fillId="0" borderId="6" xfId="0" applyNumberFormat="1" applyBorder="1" applyAlignment="1">
      <alignment horizontal="center" vertical="center"/>
    </xf>
    <xf numFmtId="0" fontId="0" fillId="0" borderId="30" xfId="0" applyBorder="1" applyAlignment="1">
      <alignment horizontal="center" vertical="center"/>
    </xf>
    <xf numFmtId="1" fontId="0" fillId="0" borderId="31" xfId="0" applyNumberFormat="1" applyBorder="1" applyAlignment="1">
      <alignment horizontal="center" vertical="center"/>
    </xf>
    <xf numFmtId="0" fontId="0" fillId="0" borderId="29" xfId="0" applyBorder="1" applyAlignment="1">
      <alignment horizontal="center" vertical="center"/>
    </xf>
    <xf numFmtId="164" fontId="0" fillId="0" borderId="29" xfId="0" applyNumberFormat="1" applyBorder="1" applyAlignment="1">
      <alignment horizontal="center" vertical="center"/>
    </xf>
    <xf numFmtId="0" fontId="0" fillId="0" borderId="41" xfId="0" applyBorder="1" applyAlignment="1">
      <alignment horizontal="center" vertical="center"/>
    </xf>
    <xf numFmtId="164" fontId="0" fillId="0" borderId="41" xfId="0" applyNumberFormat="1" applyBorder="1" applyAlignment="1">
      <alignment horizontal="center" vertical="center"/>
    </xf>
    <xf numFmtId="0" fontId="0" fillId="0" borderId="40" xfId="0" applyBorder="1" applyAlignment="1">
      <alignment horizontal="center" vertical="center"/>
    </xf>
    <xf numFmtId="0" fontId="0" fillId="26" borderId="0" xfId="0" applyFill="1"/>
    <xf numFmtId="0" fontId="0" fillId="26" borderId="13" xfId="0" applyFill="1" applyBorder="1"/>
    <xf numFmtId="0" fontId="0" fillId="26" borderId="15" xfId="0" applyFill="1" applyBorder="1"/>
    <xf numFmtId="0" fontId="0" fillId="26" borderId="16" xfId="0" applyFill="1" applyBorder="1"/>
    <xf numFmtId="0" fontId="0" fillId="26" borderId="14" xfId="0" applyFill="1" applyBorder="1"/>
    <xf numFmtId="0" fontId="0" fillId="31" borderId="0" xfId="0" applyFill="1"/>
    <xf numFmtId="0" fontId="0" fillId="20" borderId="5" xfId="0" applyFill="1" applyBorder="1"/>
    <xf numFmtId="0" fontId="0" fillId="20" borderId="6" xfId="0" applyFill="1" applyBorder="1"/>
    <xf numFmtId="0" fontId="0" fillId="20" borderId="14" xfId="0" applyFill="1" applyBorder="1"/>
    <xf numFmtId="0" fontId="0" fillId="20" borderId="15" xfId="0" applyFill="1" applyBorder="1"/>
    <xf numFmtId="0" fontId="0" fillId="20" borderId="16" xfId="0" applyFill="1" applyBorder="1"/>
    <xf numFmtId="0" fontId="0" fillId="20" borderId="0" xfId="0" applyFill="1"/>
    <xf numFmtId="0" fontId="0" fillId="32" borderId="5" xfId="0" applyFill="1" applyBorder="1"/>
    <xf numFmtId="0" fontId="0" fillId="32" borderId="0" xfId="0" applyFill="1"/>
    <xf numFmtId="0" fontId="0" fillId="32" borderId="6" xfId="0" applyFill="1" applyBorder="1"/>
    <xf numFmtId="0" fontId="0" fillId="32" borderId="14" xfId="0" applyFill="1" applyBorder="1"/>
    <xf numFmtId="0" fontId="0" fillId="32" borderId="15" xfId="0" applyFill="1" applyBorder="1"/>
    <xf numFmtId="0" fontId="0" fillId="32" borderId="16" xfId="0" applyFill="1" applyBorder="1"/>
    <xf numFmtId="0" fontId="0" fillId="0" borderId="11" xfId="0" pivotButton="1" applyBorder="1" applyAlignment="1">
      <alignment horizontal="center" vertical="center"/>
    </xf>
    <xf numFmtId="0" fontId="0" fillId="7" borderId="8" xfId="3" applyFont="1" applyBorder="1" applyAlignment="1">
      <alignment horizontal="center" vertical="center"/>
    </xf>
    <xf numFmtId="0" fontId="8" fillId="6" borderId="5" xfId="2" applyBorder="1" applyAlignment="1">
      <alignment horizontal="center"/>
    </xf>
    <xf numFmtId="0" fontId="8" fillId="6" borderId="0" xfId="2" applyAlignment="1">
      <alignment horizontal="center"/>
    </xf>
    <xf numFmtId="0" fontId="8" fillId="6" borderId="6" xfId="2" applyBorder="1" applyAlignment="1">
      <alignment horizontal="center"/>
    </xf>
    <xf numFmtId="0" fontId="8" fillId="6" borderId="14" xfId="2" applyBorder="1" applyAlignment="1">
      <alignment horizontal="center"/>
    </xf>
    <xf numFmtId="0" fontId="8" fillId="6" borderId="15" xfId="2" applyBorder="1" applyAlignment="1">
      <alignment horizontal="center"/>
    </xf>
    <xf numFmtId="0" fontId="8" fillId="6" borderId="16" xfId="2" applyBorder="1" applyAlignment="1">
      <alignment horizontal="center"/>
    </xf>
    <xf numFmtId="0" fontId="8" fillId="8" borderId="3" xfId="4" applyFont="1" applyBorder="1" applyAlignment="1">
      <alignment horizontal="center" vertical="center" wrapText="1"/>
    </xf>
    <xf numFmtId="0" fontId="8" fillId="8" borderId="13" xfId="4" applyFont="1" applyBorder="1" applyAlignment="1">
      <alignment horizontal="center" vertical="center" wrapText="1"/>
    </xf>
    <xf numFmtId="0" fontId="8" fillId="8" borderId="4" xfId="4" applyFont="1" applyBorder="1" applyAlignment="1">
      <alignment horizontal="center" vertical="center" wrapText="1"/>
    </xf>
    <xf numFmtId="0" fontId="8" fillId="8" borderId="5" xfId="4" applyFont="1" applyBorder="1" applyAlignment="1">
      <alignment horizontal="center" vertical="center" wrapText="1"/>
    </xf>
    <xf numFmtId="0" fontId="8" fillId="8" borderId="0" xfId="4" applyFont="1" applyBorder="1" applyAlignment="1">
      <alignment horizontal="center" vertical="center" wrapText="1"/>
    </xf>
    <xf numFmtId="0" fontId="8" fillId="8" borderId="6" xfId="4" applyFont="1" applyBorder="1" applyAlignment="1">
      <alignment horizontal="center" vertical="center" wrapText="1"/>
    </xf>
    <xf numFmtId="0" fontId="8" fillId="8" borderId="14" xfId="4" applyFont="1" applyBorder="1" applyAlignment="1">
      <alignment horizontal="center" vertical="center" wrapText="1"/>
    </xf>
    <xf numFmtId="0" fontId="8" fillId="8" borderId="15" xfId="4" applyFont="1" applyBorder="1" applyAlignment="1">
      <alignment horizontal="center" vertical="center" wrapText="1"/>
    </xf>
    <xf numFmtId="0" fontId="8" fillId="8" borderId="16" xfId="4" applyFont="1" applyBorder="1" applyAlignment="1">
      <alignment horizontal="center" vertical="center" wrapText="1"/>
    </xf>
    <xf numFmtId="0" fontId="14" fillId="25" borderId="11" xfId="0" applyFont="1" applyFill="1" applyBorder="1" applyAlignment="1">
      <alignment horizontal="center"/>
    </xf>
    <xf numFmtId="0" fontId="14" fillId="25" borderId="23" xfId="0" applyFont="1" applyFill="1" applyBorder="1" applyAlignment="1">
      <alignment horizontal="center"/>
    </xf>
    <xf numFmtId="0" fontId="14" fillId="25" borderId="12" xfId="0" applyFont="1" applyFill="1" applyBorder="1" applyAlignment="1">
      <alignment horizontal="center"/>
    </xf>
    <xf numFmtId="0" fontId="9" fillId="5" borderId="17" xfId="1" applyFill="1" applyBorder="1" applyAlignment="1">
      <alignment horizontal="center"/>
    </xf>
    <xf numFmtId="0" fontId="9" fillId="5" borderId="18" xfId="1" applyFill="1" applyBorder="1" applyAlignment="1">
      <alignment horizontal="center"/>
    </xf>
    <xf numFmtId="0" fontId="9" fillId="5" borderId="19" xfId="1" applyFill="1" applyBorder="1" applyAlignment="1">
      <alignment horizontal="center"/>
    </xf>
    <xf numFmtId="0" fontId="8" fillId="6" borderId="7" xfId="2" applyBorder="1" applyAlignment="1">
      <alignment horizontal="center"/>
    </xf>
    <xf numFmtId="0" fontId="8" fillId="6" borderId="2" xfId="2" applyBorder="1" applyAlignment="1">
      <alignment horizontal="center"/>
    </xf>
    <xf numFmtId="0" fontId="8" fillId="6" borderId="8" xfId="2" applyBorder="1" applyAlignment="1">
      <alignment horizontal="center"/>
    </xf>
    <xf numFmtId="0" fontId="11" fillId="13" borderId="11" xfId="3" applyFill="1" applyBorder="1" applyAlignment="1">
      <alignment horizontal="center" vertical="center"/>
    </xf>
    <xf numFmtId="0" fontId="11" fillId="13" borderId="12" xfId="3" applyFill="1" applyBorder="1" applyAlignment="1">
      <alignment horizontal="center" vertical="center"/>
    </xf>
    <xf numFmtId="0" fontId="0" fillId="14" borderId="22" xfId="7" applyFont="1" applyFill="1" applyBorder="1" applyAlignment="1">
      <alignment horizontal="center" vertical="center"/>
    </xf>
    <xf numFmtId="0" fontId="8" fillId="14" borderId="21" xfId="7" applyFont="1" applyFill="1" applyBorder="1" applyAlignment="1">
      <alignment horizontal="center" vertical="center"/>
    </xf>
    <xf numFmtId="0" fontId="8" fillId="14" borderId="27" xfId="7" applyFont="1" applyFill="1" applyBorder="1" applyAlignment="1">
      <alignment horizontal="center" vertical="center"/>
    </xf>
    <xf numFmtId="0" fontId="8" fillId="12" borderId="24" xfId="8" applyFont="1" applyBorder="1" applyAlignment="1">
      <alignment horizontal="center"/>
    </xf>
    <xf numFmtId="0" fontId="8" fillId="12" borderId="25" xfId="8" applyFont="1" applyBorder="1" applyAlignment="1">
      <alignment horizontal="center"/>
    </xf>
    <xf numFmtId="0" fontId="8" fillId="12" borderId="20" xfId="8" applyFont="1" applyBorder="1" applyAlignment="1">
      <alignment horizontal="center"/>
    </xf>
    <xf numFmtId="0" fontId="8" fillId="12" borderId="28" xfId="8" applyFont="1" applyBorder="1" applyAlignment="1">
      <alignment horizontal="center"/>
    </xf>
    <xf numFmtId="0" fontId="8" fillId="19" borderId="2" xfId="5" applyFont="1" applyFill="1" applyBorder="1" applyAlignment="1">
      <alignment horizontal="center" wrapText="1"/>
    </xf>
    <xf numFmtId="0" fontId="8" fillId="20" borderId="2" xfId="6" applyFont="1" applyFill="1" applyBorder="1" applyAlignment="1">
      <alignment horizontal="center" wrapText="1"/>
    </xf>
    <xf numFmtId="0" fontId="1" fillId="16" borderId="2" xfId="0" applyFont="1" applyFill="1" applyBorder="1" applyAlignment="1">
      <alignment horizontal="center"/>
    </xf>
    <xf numFmtId="0" fontId="0" fillId="16" borderId="2" xfId="0" applyFill="1" applyBorder="1" applyAlignment="1">
      <alignment horizontal="center" wrapText="1"/>
    </xf>
    <xf numFmtId="0" fontId="10" fillId="15" borderId="2" xfId="0" applyFont="1" applyFill="1" applyBorder="1" applyAlignment="1">
      <alignment horizontal="center" wrapText="1"/>
    </xf>
    <xf numFmtId="0" fontId="11" fillId="15" borderId="2" xfId="0" applyFont="1" applyFill="1" applyBorder="1" applyAlignment="1">
      <alignment horizontal="center" wrapText="1"/>
    </xf>
    <xf numFmtId="0" fontId="0" fillId="18" borderId="2" xfId="0" applyFill="1" applyBorder="1" applyAlignment="1">
      <alignment horizontal="center" wrapText="1"/>
    </xf>
    <xf numFmtId="0" fontId="1" fillId="18" borderId="2" xfId="0" applyFont="1" applyFill="1" applyBorder="1" applyAlignment="1">
      <alignment horizontal="center" wrapText="1"/>
    </xf>
    <xf numFmtId="0" fontId="1" fillId="17" borderId="2" xfId="0" applyFont="1" applyFill="1" applyBorder="1" applyAlignment="1">
      <alignment horizontal="center" wrapText="1"/>
    </xf>
    <xf numFmtId="0" fontId="0" fillId="17" borderId="2" xfId="0" applyFill="1" applyBorder="1" applyAlignment="1">
      <alignment horizontal="center" wrapText="1"/>
    </xf>
    <xf numFmtId="0" fontId="10" fillId="27" borderId="3" xfId="0" applyFont="1" applyFill="1" applyBorder="1" applyAlignment="1">
      <alignment horizontal="center" vertical="center" wrapText="1"/>
    </xf>
    <xf numFmtId="0" fontId="11" fillId="27" borderId="4" xfId="0" applyFont="1" applyFill="1" applyBorder="1" applyAlignment="1">
      <alignment horizontal="center" vertical="center" wrapText="1"/>
    </xf>
    <xf numFmtId="0" fontId="11" fillId="27" borderId="14" xfId="0" applyFont="1" applyFill="1" applyBorder="1" applyAlignment="1">
      <alignment horizontal="center" vertical="center" wrapText="1"/>
    </xf>
    <xf numFmtId="0" fontId="11" fillId="27" borderId="16" xfId="0" applyFont="1" applyFill="1" applyBorder="1" applyAlignment="1">
      <alignment horizontal="center" vertical="center" wrapText="1"/>
    </xf>
    <xf numFmtId="0" fontId="10" fillId="25" borderId="3" xfId="0" applyFont="1" applyFill="1" applyBorder="1" applyAlignment="1">
      <alignment horizontal="center" vertical="center" wrapText="1"/>
    </xf>
    <xf numFmtId="0" fontId="10" fillId="25" borderId="4" xfId="0" applyFont="1" applyFill="1" applyBorder="1" applyAlignment="1">
      <alignment horizontal="center" vertical="center" wrapText="1"/>
    </xf>
    <xf numFmtId="0" fontId="10" fillId="25" borderId="14" xfId="0" applyFont="1" applyFill="1" applyBorder="1" applyAlignment="1">
      <alignment horizontal="center" vertical="center" wrapText="1"/>
    </xf>
    <xf numFmtId="0" fontId="10" fillId="25" borderId="16" xfId="0" applyFont="1" applyFill="1" applyBorder="1" applyAlignment="1">
      <alignment horizontal="center" vertical="center" wrapText="1"/>
    </xf>
    <xf numFmtId="0" fontId="10" fillId="28" borderId="3" xfId="0" applyFont="1" applyFill="1" applyBorder="1" applyAlignment="1">
      <alignment horizontal="center" vertical="center" wrapText="1"/>
    </xf>
    <xf numFmtId="0" fontId="10" fillId="28" borderId="4" xfId="0" applyFont="1" applyFill="1" applyBorder="1" applyAlignment="1">
      <alignment horizontal="center" vertical="center" wrapText="1"/>
    </xf>
    <xf numFmtId="0" fontId="10" fillId="28" borderId="14" xfId="0" applyFont="1" applyFill="1" applyBorder="1" applyAlignment="1">
      <alignment horizontal="center" vertical="center" wrapText="1"/>
    </xf>
    <xf numFmtId="0" fontId="10" fillId="28" borderId="16" xfId="0" applyFont="1" applyFill="1" applyBorder="1" applyAlignment="1">
      <alignment horizontal="center" vertical="center" wrapText="1"/>
    </xf>
    <xf numFmtId="0" fontId="10" fillId="29" borderId="3" xfId="0" applyFont="1" applyFill="1" applyBorder="1" applyAlignment="1">
      <alignment horizontal="center" vertical="center" wrapText="1"/>
    </xf>
    <xf numFmtId="0" fontId="10" fillId="29" borderId="4" xfId="0" applyFont="1" applyFill="1" applyBorder="1" applyAlignment="1">
      <alignment horizontal="center" vertical="center" wrapText="1"/>
    </xf>
    <xf numFmtId="0" fontId="10" fillId="29" borderId="14" xfId="0" applyFont="1" applyFill="1" applyBorder="1" applyAlignment="1">
      <alignment horizontal="center" vertical="center" wrapText="1"/>
    </xf>
    <xf numFmtId="0" fontId="10" fillId="29" borderId="16" xfId="0" applyFont="1" applyFill="1" applyBorder="1" applyAlignment="1">
      <alignment horizontal="center" vertical="center" wrapText="1"/>
    </xf>
    <xf numFmtId="0" fontId="12" fillId="30" borderId="11" xfId="0" applyFont="1" applyFill="1" applyBorder="1" applyAlignment="1">
      <alignment horizontal="center" vertical="center" wrapText="1"/>
    </xf>
    <xf numFmtId="0" fontId="1" fillId="30" borderId="23" xfId="0" applyFont="1" applyFill="1" applyBorder="1" applyAlignment="1">
      <alignment horizontal="center" vertical="center" wrapText="1"/>
    </xf>
    <xf numFmtId="0" fontId="1" fillId="30" borderId="12" xfId="0" applyFont="1" applyFill="1" applyBorder="1" applyAlignment="1">
      <alignment horizontal="center" vertical="center" wrapText="1"/>
    </xf>
    <xf numFmtId="0" fontId="13" fillId="22" borderId="3" xfId="0" applyFont="1" applyFill="1" applyBorder="1" applyAlignment="1">
      <alignment horizontal="center" vertical="center" wrapText="1"/>
    </xf>
    <xf numFmtId="0" fontId="1" fillId="22" borderId="13" xfId="0" applyFont="1" applyFill="1" applyBorder="1" applyAlignment="1">
      <alignment horizontal="center" vertical="center" wrapText="1"/>
    </xf>
    <xf numFmtId="0" fontId="1" fillId="22" borderId="4" xfId="0" applyFont="1" applyFill="1" applyBorder="1" applyAlignment="1">
      <alignment horizontal="center" vertical="center" wrapText="1"/>
    </xf>
    <xf numFmtId="0" fontId="1" fillId="22" borderId="14" xfId="0" applyFont="1" applyFill="1" applyBorder="1" applyAlignment="1">
      <alignment horizontal="center" vertical="center" wrapText="1"/>
    </xf>
    <xf numFmtId="0" fontId="1" fillId="22" borderId="15" xfId="0" applyFont="1" applyFill="1" applyBorder="1" applyAlignment="1">
      <alignment horizontal="center" vertical="center" wrapText="1"/>
    </xf>
    <xf numFmtId="0" fontId="1" fillId="22" borderId="16" xfId="0" applyFont="1" applyFill="1" applyBorder="1" applyAlignment="1">
      <alignment horizontal="center" vertical="center" wrapText="1"/>
    </xf>
    <xf numFmtId="0" fontId="15" fillId="21" borderId="5" xfId="0" applyFont="1" applyFill="1" applyBorder="1" applyAlignment="1">
      <alignment horizontal="center" vertical="center" wrapText="1"/>
    </xf>
    <xf numFmtId="0" fontId="15" fillId="21" borderId="0" xfId="0" applyFont="1" applyFill="1" applyAlignment="1">
      <alignment horizontal="center" vertical="center" wrapText="1"/>
    </xf>
    <xf numFmtId="0" fontId="0" fillId="33" borderId="3" xfId="0" applyFill="1" applyBorder="1"/>
    <xf numFmtId="0" fontId="0" fillId="33" borderId="13" xfId="0" applyFill="1" applyBorder="1"/>
    <xf numFmtId="0" fontId="0" fillId="33" borderId="4" xfId="0" applyFill="1" applyBorder="1"/>
    <xf numFmtId="0" fontId="0" fillId="33" borderId="5" xfId="0" applyFill="1" applyBorder="1"/>
    <xf numFmtId="0" fontId="0" fillId="33" borderId="0" xfId="0" applyFill="1" applyBorder="1"/>
    <xf numFmtId="0" fontId="0" fillId="33" borderId="6" xfId="0" applyFill="1" applyBorder="1"/>
    <xf numFmtId="0" fontId="0" fillId="33" borderId="14" xfId="0" applyFill="1" applyBorder="1"/>
    <xf numFmtId="0" fontId="0" fillId="33" borderId="15" xfId="0" applyFill="1" applyBorder="1"/>
    <xf numFmtId="0" fontId="0" fillId="33" borderId="16" xfId="0" applyFill="1" applyBorder="1"/>
    <xf numFmtId="0" fontId="0" fillId="35" borderId="3" xfId="0" applyFill="1" applyBorder="1"/>
    <xf numFmtId="0" fontId="0" fillId="35" borderId="13" xfId="0" applyFill="1" applyBorder="1"/>
    <xf numFmtId="0" fontId="0" fillId="35" borderId="4" xfId="0" applyFill="1" applyBorder="1"/>
    <xf numFmtId="0" fontId="0" fillId="35" borderId="5" xfId="0" applyFill="1" applyBorder="1"/>
    <xf numFmtId="0" fontId="0" fillId="35" borderId="0" xfId="0" applyFill="1" applyBorder="1"/>
    <xf numFmtId="0" fontId="0" fillId="35" borderId="14" xfId="0" applyFill="1" applyBorder="1"/>
    <xf numFmtId="0" fontId="0" fillId="35" borderId="15" xfId="0" applyFill="1" applyBorder="1"/>
    <xf numFmtId="0" fontId="0" fillId="35" borderId="16" xfId="0" applyFill="1" applyBorder="1"/>
    <xf numFmtId="0" fontId="16" fillId="34" borderId="3" xfId="0" applyFont="1" applyFill="1" applyBorder="1" applyAlignment="1">
      <alignment horizontal="center" vertical="center"/>
    </xf>
    <xf numFmtId="0" fontId="16" fillId="34" borderId="13" xfId="0" applyFont="1" applyFill="1" applyBorder="1" applyAlignment="1">
      <alignment horizontal="center" vertical="center"/>
    </xf>
    <xf numFmtId="0" fontId="16" fillId="34" borderId="4" xfId="0" applyFont="1" applyFill="1" applyBorder="1" applyAlignment="1">
      <alignment horizontal="center" vertical="center"/>
    </xf>
    <xf numFmtId="0" fontId="16" fillId="34" borderId="14" xfId="0" applyFont="1" applyFill="1" applyBorder="1" applyAlignment="1">
      <alignment horizontal="center" vertical="center"/>
    </xf>
    <xf numFmtId="0" fontId="16" fillId="34" borderId="15" xfId="0" applyFont="1" applyFill="1" applyBorder="1" applyAlignment="1">
      <alignment horizontal="center" vertical="center"/>
    </xf>
    <xf numFmtId="0" fontId="16" fillId="34" borderId="16" xfId="0" applyFont="1" applyFill="1" applyBorder="1" applyAlignment="1">
      <alignment horizontal="center" vertical="center"/>
    </xf>
    <xf numFmtId="0" fontId="16" fillId="23" borderId="3" xfId="0" applyFont="1" applyFill="1" applyBorder="1" applyAlignment="1">
      <alignment horizontal="center" vertical="center" wrapText="1"/>
    </xf>
    <xf numFmtId="0" fontId="16" fillId="23" borderId="13" xfId="0" applyFont="1" applyFill="1" applyBorder="1" applyAlignment="1">
      <alignment horizontal="center" vertical="center" wrapText="1"/>
    </xf>
    <xf numFmtId="0" fontId="16" fillId="23" borderId="4" xfId="0" applyFont="1" applyFill="1" applyBorder="1" applyAlignment="1">
      <alignment horizontal="center" vertical="center" wrapText="1"/>
    </xf>
    <xf numFmtId="0" fontId="16" fillId="23" borderId="14" xfId="0" applyFont="1" applyFill="1" applyBorder="1" applyAlignment="1">
      <alignment horizontal="center" vertical="center" wrapText="1"/>
    </xf>
    <xf numFmtId="0" fontId="16" fillId="23" borderId="15" xfId="0" applyFont="1" applyFill="1" applyBorder="1" applyAlignment="1">
      <alignment horizontal="center" vertical="center" wrapText="1"/>
    </xf>
    <xf numFmtId="0" fontId="16" fillId="23" borderId="16" xfId="0" applyFont="1" applyFill="1" applyBorder="1" applyAlignment="1">
      <alignment horizontal="center" vertical="center" wrapText="1"/>
    </xf>
    <xf numFmtId="0" fontId="16" fillId="36" borderId="3" xfId="0" applyFont="1" applyFill="1" applyBorder="1" applyAlignment="1">
      <alignment horizontal="center" vertical="center"/>
    </xf>
    <xf numFmtId="0" fontId="16" fillId="36" borderId="13" xfId="0" applyFont="1" applyFill="1" applyBorder="1" applyAlignment="1">
      <alignment horizontal="center" vertical="center"/>
    </xf>
    <xf numFmtId="0" fontId="16" fillId="36" borderId="4" xfId="0" applyFont="1" applyFill="1" applyBorder="1" applyAlignment="1">
      <alignment horizontal="center" vertical="center"/>
    </xf>
    <xf numFmtId="0" fontId="16" fillId="36" borderId="14" xfId="0" applyFont="1" applyFill="1" applyBorder="1" applyAlignment="1">
      <alignment horizontal="center" vertical="center"/>
    </xf>
    <xf numFmtId="0" fontId="16" fillId="36" borderId="15" xfId="0" applyFont="1" applyFill="1" applyBorder="1" applyAlignment="1">
      <alignment horizontal="center" vertical="center"/>
    </xf>
    <xf numFmtId="0" fontId="16" fillId="36" borderId="16" xfId="0" applyFont="1" applyFill="1" applyBorder="1" applyAlignment="1">
      <alignment horizontal="center" vertical="center"/>
    </xf>
    <xf numFmtId="0" fontId="0" fillId="18" borderId="2" xfId="0" applyFill="1" applyBorder="1" applyAlignment="1">
      <alignment horizontal="center"/>
    </xf>
    <xf numFmtId="0" fontId="0" fillId="37" borderId="2" xfId="0" applyFill="1" applyBorder="1" applyAlignment="1">
      <alignment horizontal="center"/>
    </xf>
    <xf numFmtId="171" fontId="17" fillId="37" borderId="2" xfId="0" applyNumberFormat="1" applyFont="1" applyFill="1" applyBorder="1" applyAlignment="1">
      <alignment horizontal="center" vertical="center"/>
    </xf>
    <xf numFmtId="0" fontId="0" fillId="37" borderId="2" xfId="0" applyFill="1" applyBorder="1"/>
  </cellXfs>
  <cellStyles count="9">
    <cellStyle name="40% - Accent1" xfId="2" builtinId="31"/>
    <cellStyle name="60% - Accent1" xfId="3" builtinId="32"/>
    <cellStyle name="60% - Accent2" xfId="4" builtinId="36"/>
    <cellStyle name="60% - Accent3" xfId="6" builtinId="40"/>
    <cellStyle name="60% - Accent6" xfId="8" builtinId="52"/>
    <cellStyle name="Accent3" xfId="5" builtinId="37"/>
    <cellStyle name="Accent6" xfId="7" builtinId="49"/>
    <cellStyle name="Normal" xfId="0" builtinId="0"/>
    <cellStyle name="Title" xfId="1" builtinId="15"/>
  </cellStyles>
  <dxfs count="580">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numFmt numFmtId="166" formatCode="0.000"/>
    </dxf>
    <dxf>
      <numFmt numFmtId="2" formatCode="0.00"/>
    </dxf>
    <dxf>
      <numFmt numFmtId="165" formatCode="0.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2" formatCode="0.00"/>
    </dxf>
    <dxf>
      <numFmt numFmtId="165" formatCode="0.0"/>
    </dxf>
    <dxf>
      <numFmt numFmtId="1" formatCode="0"/>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numFmt numFmtId="164" formatCode="&quot;₹&quot;\ #,##0.00"/>
    </dxf>
    <dxf>
      <numFmt numFmtId="164" formatCode="&quot;₹&quot;\ #,##0.00"/>
    </dxf>
    <dxf>
      <numFmt numFmtId="164" formatCode="&quot;₹&quot;\ #,##0.00"/>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ont>
        <color rgb="FF9C0006"/>
      </font>
      <fill>
        <patternFill>
          <bgColor rgb="FFFFC7CE"/>
        </patternFill>
      </fill>
    </dxf>
    <dxf>
      <font>
        <color rgb="FF9C5700"/>
      </font>
      <fill>
        <patternFill>
          <bgColor rgb="FFFFEB9C"/>
        </patternFill>
      </fill>
    </dxf>
    <dxf>
      <border>
        <top style="medium">
          <color indexed="64"/>
        </top>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 #,##0.00"/>
    </dxf>
    <dxf>
      <numFmt numFmtId="164" formatCode="&quot;₹&quot;\ #,##0.00"/>
    </dxf>
    <dxf>
      <numFmt numFmtId="164" formatCode="&quot;₹&quot;\ #,##0.00"/>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numFmt numFmtId="164" formatCode="&quot;₹&quot;\ #,##0.00"/>
    </dxf>
    <dxf>
      <numFmt numFmtId="164" formatCode="&quot;₹&quot;\ #,##0.00"/>
    </dxf>
    <dxf>
      <numFmt numFmtId="164" formatCode="&quot;₹&quot;\ #,##0.00"/>
    </dxf>
    <dxf>
      <numFmt numFmtId="164" formatCode="&quot;₹&quot;\ #,##0.00"/>
    </dxf>
    <dxf>
      <numFmt numFmtId="164" formatCode="&quot;₹&quot;\ #,##0.00"/>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numFmt numFmtId="164" formatCode="&quot;₹&quot;\ #,##0.00"/>
    </dxf>
    <dxf>
      <numFmt numFmtId="164" formatCode="&quot;₹&quot;\ #,##0.00"/>
    </dxf>
    <dxf>
      <numFmt numFmtId="164" formatCode="&quot;₹&quot;\ #,##0.00"/>
    </dxf>
    <dxf>
      <numFmt numFmtId="164" formatCode="&quot;₹&quot;\ #,##0.00"/>
    </dxf>
    <dxf>
      <numFmt numFmtId="164" formatCode="&quot;₹&quot;\ #,##0.00"/>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numFmt numFmtId="1" formatCode="0"/>
    </dxf>
    <dxf>
      <numFmt numFmtId="165" formatCode="0.0"/>
    </dxf>
    <dxf>
      <numFmt numFmtId="2" formatCode="0.0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65" formatCode="0.0"/>
    </dxf>
    <dxf>
      <numFmt numFmtId="2" formatCode="0.00"/>
    </dxf>
    <dxf>
      <numFmt numFmtId="166" formatCode="0.000"/>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numFmt numFmtId="164" formatCode="&quot;₹&quot;\ #,##0.00"/>
    </dxf>
    <dxf>
      <numFmt numFmtId="164" formatCode="&quot;₹&quot;\ #,##0.00"/>
    </dxf>
    <dxf>
      <numFmt numFmtId="164" formatCode="&quot;₹&quot;\ #,##0.00"/>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4" formatCode="&quot;₹&quot;\ #,##0.00"/>
    </dxf>
    <dxf>
      <numFmt numFmtId="164" formatCode="&quot;₹&quot;\ #,##0.00"/>
    </dxf>
    <dxf>
      <numFmt numFmtId="164" formatCode="&quot;₹&quot;\ #,##0.00"/>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numFmt numFmtId="19" formatCode="dd/mm/yyyy"/>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 formatCode="0.00"/>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9" formatCode="dd/mm/yyyy"/>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Trebuchet MS"/>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A0E4AF"/>
      <color rgb="FF4778E5"/>
      <color rgb="FF3E8244"/>
      <color rgb="FF1D5E93"/>
      <color rgb="FFA5D3F9"/>
      <color rgb="FFDC7E7E"/>
      <color rgb="FFC93B3B"/>
      <color rgb="FF982853"/>
      <color rgb="FFB42E8B"/>
      <color rgb="FFDD8B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[Final_GP.xlsx]Pivot Table!PivotTable3</c:name>
    <c:fmtId val="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pivotFmt>
      <c:pivotFmt>
        <c:idx val="5"/>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Table'!$L$5</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'Pivot Table'!$K$6:$K$18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Table'!$L$6:$L$18</c:f>
              <c:numCache>
                <c:formatCode>"₹"\ #,##0.00</c:formatCode>
                <c:ptCount val="12"/>
                <c:pt idx="0">
                  <c:v>25799.15</c:v>
                </c:pt>
                <c:pt idx="1">
                  <c:v>16069.380000000001</c:v>
                </c:pt>
                <c:pt idx="2">
                  <c:v>19899.379999999997</c:v>
                </c:pt>
                <c:pt idx="3">
                  <c:v>55029.19</c:v>
                </c:pt>
                <c:pt idx="4">
                  <c:v>17039.349999999999</c:v>
                </c:pt>
                <c:pt idx="5">
                  <c:v>19299.45</c:v>
                </c:pt>
                <c:pt idx="6">
                  <c:v>18479.399999999994</c:v>
                </c:pt>
                <c:pt idx="7">
                  <c:v>15759.429999999997</c:v>
                </c:pt>
                <c:pt idx="8">
                  <c:v>12989.509999999998</c:v>
                </c:pt>
                <c:pt idx="9">
                  <c:v>20609.52</c:v>
                </c:pt>
                <c:pt idx="10">
                  <c:v>12309.439999999999</c:v>
                </c:pt>
                <c:pt idx="11">
                  <c:v>23039.3</c:v>
                </c:pt>
              </c:numCache>
            </c:numRef>
          </c:val>
          <c:smooth val="0"/>
          <c:extLst>
            <c:ext xmlns:c16="http://schemas.microsoft.com/office/drawing/2014/chart" uri="{C3380CC4-5D6E-409C-BE32-E72D297353CC}">
              <c16:uniqueId val="{00000000-27DD-48E1-99FC-BEAE9BEA70C4}"/>
            </c:ext>
          </c:extLst>
        </c:ser>
        <c:dLbls>
          <c:showLegendKey val="0"/>
          <c:showVal val="0"/>
          <c:showCatName val="0"/>
          <c:showSerName val="0"/>
          <c:showPercent val="0"/>
          <c:showBubbleSize val="0"/>
        </c:dLbls>
        <c:marker val="1"/>
        <c:smooth val="0"/>
        <c:axId val="599019984"/>
        <c:axId val="549494040"/>
      </c:lineChart>
      <c:catAx>
        <c:axId val="5990199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9494040"/>
        <c:crosses val="autoZero"/>
        <c:auto val="1"/>
        <c:lblAlgn val="ctr"/>
        <c:lblOffset val="100"/>
        <c:noMultiLvlLbl val="0"/>
      </c:catAx>
      <c:valAx>
        <c:axId val="5494940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901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[Final_GP.xlsx]Pivot Table!PivotTable4</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Table'!$I$5</c:f>
              <c:strCache>
                <c:ptCount val="1"/>
                <c:pt idx="0">
                  <c:v>Total</c:v>
                </c:pt>
              </c:strCache>
            </c:strRef>
          </c:tx>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'Pivot Table'!$H$6:$H$11</c:f>
              <c:strCache>
                <c:ptCount val="5"/>
                <c:pt idx="0">
                  <c:v>Central</c:v>
                </c:pt>
                <c:pt idx="1">
                  <c:v>East</c:v>
                </c:pt>
                <c:pt idx="2">
                  <c:v>North</c:v>
                </c:pt>
                <c:pt idx="3">
                  <c:v>South</c:v>
                </c:pt>
                <c:pt idx="4">
                  <c:v>West</c:v>
                </c:pt>
              </c:strCache>
            </c:strRef>
          </c:cat>
          <c:val>
            <c:numRef>
              <c:f>'Pivot Table'!$I$6:$I$11</c:f>
              <c:numCache>
                <c:formatCode>"₹"\ #,##0.00</c:formatCode>
                <c:ptCount val="5"/>
                <c:pt idx="0">
                  <c:v>56438.340000000011</c:v>
                </c:pt>
                <c:pt idx="1">
                  <c:v>59288.389999999992</c:v>
                </c:pt>
                <c:pt idx="2">
                  <c:v>53508.310000000012</c:v>
                </c:pt>
                <c:pt idx="3">
                  <c:v>45738.780000000006</c:v>
                </c:pt>
                <c:pt idx="4">
                  <c:v>41348.680000000015</c:v>
                </c:pt>
              </c:numCache>
            </c:numRef>
          </c:val>
          <c:extLst>
            <c:ext xmlns:c16="http://schemas.microsoft.com/office/drawing/2014/chart" uri="{C3380CC4-5D6E-409C-BE32-E72D297353CC}">
              <c16:uniqueId val="{00000000-D767-4C13-83CE-446AFA3C5644}"/>
            </c:ext>
          </c:extLst>
        </c:ser>
        <c:dLbls>
          <c:showLegendKey val="0"/>
          <c:showVal val="0"/>
          <c:showCatName val="0"/>
          <c:showSerName val="0"/>
          <c:showPercent val="0"/>
          <c:showBubbleSize val="0"/>
        </c:dLbls>
        <c:gapWidth val="150"/>
        <c:shape val="box"/>
        <c:axId val="598816080"/>
        <c:axId val="598816408"/>
        <c:axId val="0"/>
      </c:bar3DChart>
      <c:catAx>
        <c:axId val="598816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8816408"/>
        <c:crosses val="autoZero"/>
        <c:auto val="1"/>
        <c:lblAlgn val="ctr"/>
        <c:lblOffset val="100"/>
        <c:noMultiLvlLbl val="0"/>
      </c:catAx>
      <c:valAx>
        <c:axId val="598816408"/>
        <c:scaling>
          <c:orientation val="minMax"/>
        </c:scaling>
        <c:delete val="0"/>
        <c:axPos val="b"/>
        <c:majorGridlines>
          <c:spPr>
            <a:ln w="9525" cap="flat" cmpd="sng" algn="ctr">
              <a:solidFill>
                <a:schemeClr val="dk1">
                  <a:lumMod val="50000"/>
                  <a:lumOff val="5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881608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[Final_GP.xlsx]Pivot Table!PivotTable5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by Payment Methods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13"/>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14"/>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15"/>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1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s>
    <c:plotArea>
      <c:layout/>
      <c:pieChart>
        <c:varyColors val="1"/>
        <c:ser>
          <c:idx val="0"/>
          <c:order val="0"/>
          <c:tx>
            <c:strRef>
              <c:f>'Pivot Table'!$C$5</c:f>
              <c:strCache>
                <c:ptCount val="1"/>
                <c:pt idx="0">
                  <c:v>Total</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576A-4B9D-92F8-D757026C16D7}"/>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576A-4B9D-92F8-D757026C16D7}"/>
              </c:ext>
            </c:extLst>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576A-4B9D-92F8-D757026C16D7}"/>
              </c:ext>
            </c:extLst>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7-576A-4B9D-92F8-D757026C16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Table'!$B$6:$B$10</c:f>
              <c:strCache>
                <c:ptCount val="4"/>
                <c:pt idx="0">
                  <c:v>Cash</c:v>
                </c:pt>
                <c:pt idx="1">
                  <c:v>Credit Card</c:v>
                </c:pt>
                <c:pt idx="2">
                  <c:v>Debit Card</c:v>
                </c:pt>
                <c:pt idx="3">
                  <c:v>PayPal</c:v>
                </c:pt>
              </c:strCache>
            </c:strRef>
          </c:cat>
          <c:val>
            <c:numRef>
              <c:f>'Pivot Table'!$C$6:$C$10</c:f>
              <c:numCache>
                <c:formatCode>"₹"\ #,##0.00</c:formatCode>
                <c:ptCount val="4"/>
                <c:pt idx="0">
                  <c:v>65317.790000000037</c:v>
                </c:pt>
                <c:pt idx="1">
                  <c:v>71347.960000000021</c:v>
                </c:pt>
                <c:pt idx="2">
                  <c:v>52938.340000000004</c:v>
                </c:pt>
                <c:pt idx="3">
                  <c:v>66718.41</c:v>
                </c:pt>
              </c:numCache>
            </c:numRef>
          </c:val>
          <c:extLst>
            <c:ext xmlns:c16="http://schemas.microsoft.com/office/drawing/2014/chart" uri="{C3380CC4-5D6E-409C-BE32-E72D297353CC}">
              <c16:uniqueId val="{00000008-576A-4B9D-92F8-D757026C16D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[Final_GP.xlsx]Pivot Table!PivotTable2</c:name>
    <c:fmtId val="4"/>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gradFill>
            <a:gsLst>
              <a:gs pos="100000">
                <a:schemeClr val="accent6">
                  <a:alpha val="0"/>
                </a:schemeClr>
              </a:gs>
              <a:gs pos="50000">
                <a:schemeClr val="accent6"/>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Table'!$F$5</c:f>
              <c:strCache>
                <c:ptCount val="1"/>
                <c:pt idx="0">
                  <c:v>Total</c:v>
                </c:pt>
              </c:strCache>
            </c:strRef>
          </c:tx>
          <c:spPr>
            <a:gradFill>
              <a:gsLst>
                <a:gs pos="100000">
                  <a:schemeClr val="accent6">
                    <a:alpha val="0"/>
                  </a:schemeClr>
                </a:gs>
                <a:gs pos="50000">
                  <a:schemeClr val="accent6"/>
                </a:gs>
              </a:gsLst>
              <a:lin ang="5400000" scaled="0"/>
            </a:gradFill>
            <a:ln>
              <a:noFill/>
            </a:ln>
            <a:effectLst/>
            <a:sp3d/>
          </c:spPr>
          <c:invertIfNegative val="0"/>
          <c:cat>
            <c:multiLvlStrRef>
              <c:f>'Pivot Table'!$E$6:$E$26</c:f>
              <c:multiLvlStrCache>
                <c:ptCount val="10"/>
                <c:lvl>
                  <c:pt idx="0">
                    <c:v>P005</c:v>
                  </c:pt>
                  <c:pt idx="1">
                    <c:v>P008</c:v>
                  </c:pt>
                  <c:pt idx="2">
                    <c:v>P004</c:v>
                  </c:pt>
                  <c:pt idx="3">
                    <c:v>P007</c:v>
                  </c:pt>
                  <c:pt idx="4">
                    <c:v>P003</c:v>
                  </c:pt>
                  <c:pt idx="5">
                    <c:v>P010</c:v>
                  </c:pt>
                  <c:pt idx="6">
                    <c:v>P001</c:v>
                  </c:pt>
                  <c:pt idx="7">
                    <c:v>P009</c:v>
                  </c:pt>
                  <c:pt idx="8">
                    <c:v>P006</c:v>
                  </c:pt>
                  <c:pt idx="9">
                    <c:v>P002</c:v>
                  </c:pt>
                </c:lvl>
                <c:lvl>
                  <c:pt idx="0">
                    <c:v>Blender</c:v>
                  </c:pt>
                  <c:pt idx="1">
                    <c:v>Bookshelf</c:v>
                  </c:pt>
                  <c:pt idx="2">
                    <c:v>Coffee Maker</c:v>
                  </c:pt>
                  <c:pt idx="3">
                    <c:v>Desk</c:v>
                  </c:pt>
                  <c:pt idx="4">
                    <c:v>Headphones</c:v>
                  </c:pt>
                  <c:pt idx="5">
                    <c:v>Keyboard</c:v>
                  </c:pt>
                  <c:pt idx="6">
                    <c:v>Laptop</c:v>
                  </c:pt>
                  <c:pt idx="7">
                    <c:v>Monitor</c:v>
                  </c:pt>
                  <c:pt idx="8">
                    <c:v>Office Chair</c:v>
                  </c:pt>
                  <c:pt idx="9">
                    <c:v>Smartphone</c:v>
                  </c:pt>
                </c:lvl>
              </c:multiLvlStrCache>
            </c:multiLvlStrRef>
          </c:cat>
          <c:val>
            <c:numRef>
              <c:f>'Pivot Table'!$F$6:$F$26</c:f>
              <c:numCache>
                <c:formatCode>0</c:formatCode>
                <c:ptCount val="10"/>
                <c:pt idx="0">
                  <c:v>104.00400080016003</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F63A-4269-98D3-C1682D1DFEB2}"/>
            </c:ext>
          </c:extLst>
        </c:ser>
        <c:dLbls>
          <c:showLegendKey val="0"/>
          <c:showVal val="0"/>
          <c:showCatName val="0"/>
          <c:showSerName val="0"/>
          <c:showPercent val="0"/>
          <c:showBubbleSize val="0"/>
        </c:dLbls>
        <c:gapWidth val="150"/>
        <c:gapDepth val="0"/>
        <c:shape val="box"/>
        <c:axId val="670987496"/>
        <c:axId val="670985528"/>
        <c:axId val="0"/>
      </c:bar3DChart>
      <c:catAx>
        <c:axId val="670987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985528"/>
        <c:crosses val="autoZero"/>
        <c:auto val="1"/>
        <c:lblAlgn val="ctr"/>
        <c:lblOffset val="100"/>
        <c:noMultiLvlLbl val="0"/>
      </c:catAx>
      <c:valAx>
        <c:axId val="670985528"/>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987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47038</xdr:colOff>
      <xdr:row>13</xdr:row>
      <xdr:rowOff>55853</xdr:rowOff>
    </xdr:from>
    <xdr:to>
      <xdr:col>7</xdr:col>
      <xdr:colOff>19050</xdr:colOff>
      <xdr:row>21</xdr:row>
      <xdr:rowOff>55503</xdr:rowOff>
    </xdr:to>
    <xdr:pic>
      <xdr:nvPicPr>
        <xdr:cNvPr id="2" name="Picture 1">
          <a:extLst>
            <a:ext uri="{FF2B5EF4-FFF2-40B4-BE49-F238E27FC236}">
              <a16:creationId xmlns:a16="http://schemas.microsoft.com/office/drawing/2014/main" id="{8B32F69F-BEA4-1001-92B2-F3C6848F5A3A}"/>
            </a:ext>
          </a:extLst>
        </xdr:cNvPr>
        <xdr:cNvPicPr>
          <a:picLocks noChangeAspect="1"/>
        </xdr:cNvPicPr>
      </xdr:nvPicPr>
      <xdr:blipFill rotWithShape="1">
        <a:blip xmlns:r="http://schemas.openxmlformats.org/officeDocument/2006/relationships" r:embed="rId1"/>
        <a:srcRect r="20495"/>
        <a:stretch>
          <a:fillRect/>
        </a:stretch>
      </xdr:blipFill>
      <xdr:spPr>
        <a:xfrm>
          <a:off x="47038" y="2599028"/>
          <a:ext cx="5391737" cy="1466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206700</xdr:colOff>
      <xdr:row>5</xdr:row>
      <xdr:rowOff>100478</xdr:rowOff>
    </xdr:from>
    <xdr:to>
      <xdr:col>12</xdr:col>
      <xdr:colOff>224017</xdr:colOff>
      <xdr:row>22</xdr:row>
      <xdr:rowOff>99440</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245806</xdr:colOff>
      <xdr:row>4</xdr:row>
      <xdr:rowOff>176241</xdr:rowOff>
    </xdr:from>
    <xdr:to>
      <xdr:col>27</xdr:col>
      <xdr:colOff>651384</xdr:colOff>
      <xdr:row>22</xdr:row>
      <xdr:rowOff>12292</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376363</xdr:colOff>
      <xdr:row>5</xdr:row>
      <xdr:rowOff>70538</xdr:rowOff>
    </xdr:from>
    <xdr:to>
      <xdr:col>12</xdr:col>
      <xdr:colOff>1472326</xdr:colOff>
      <xdr:row>21</xdr:row>
      <xdr:rowOff>129885</xdr:rowOff>
    </xdr:to>
    <mc:AlternateContent xmlns:mc="http://schemas.openxmlformats.org/markup-compatibility/2006" xmlns:a14="http://schemas.microsoft.com/office/drawing/2010/main">
      <mc:Choice Requires="a14">
        <xdr:graphicFrame macro="">
          <xdr:nvGraphicFramePr>
            <xdr:cNvPr id="10" name="Months (Date)">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0626492" y="1668280"/>
              <a:ext cx="1095963" cy="3099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115633</xdr:colOff>
      <xdr:row>28</xdr:row>
      <xdr:rowOff>136579</xdr:rowOff>
    </xdr:from>
    <xdr:to>
      <xdr:col>10</xdr:col>
      <xdr:colOff>576953</xdr:colOff>
      <xdr:row>50</xdr:row>
      <xdr:rowOff>7445</xdr:rowOff>
    </xdr:to>
    <xdr:graphicFrame macro="">
      <xdr:nvGraphicFramePr>
        <xdr:cNvPr id="9"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400040</xdr:colOff>
      <xdr:row>28</xdr:row>
      <xdr:rowOff>144368</xdr:rowOff>
    </xdr:from>
    <xdr:to>
      <xdr:col>27</xdr:col>
      <xdr:colOff>432238</xdr:colOff>
      <xdr:row>51</xdr:row>
      <xdr:rowOff>47430</xdr:rowOff>
    </xdr:to>
    <xdr:graphicFrame macro="">
      <xdr:nvGraphicFramePr>
        <xdr:cNvPr id="8" name="Chart 6">
          <a:extLst>
            <a:ext uri="{FF2B5EF4-FFF2-40B4-BE49-F238E27FC236}">
              <a16:creationId xmlns:a16="http://schemas.microsoft.com/office/drawing/2014/main" id="{00000000-0008-0000-01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ASUS\AppData\Local\Microsoft\Windows\INetCache\IE\R9QPW17C\Final_Project_Copy%5b1%5d.xlsx%5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I SHYAM" refreshedDate="45985.743924189817" createdVersion="8" refreshedVersion="8" minRefreshableVersion="3" recordCount="250" xr:uid="{00000000-000A-0000-FFFF-FFFF00000000}">
  <cacheSource type="worksheet">
    <worksheetSource ref="A1:N251" sheet=".xlsx].xlsx]RawData" r:id="rId2"/>
  </cacheSource>
  <cacheFields count="17">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ount="50">
        <s v="CUST023"/>
        <s v="CUST013"/>
        <s v="CUST021"/>
        <s v="CUST046"/>
        <s v="CUST003"/>
        <s v="CUST024"/>
        <s v="CUST017"/>
        <s v="CUST009"/>
        <s v="CUST026"/>
        <s v="CUST022"/>
        <s v="CUST041"/>
        <s v="CUST043"/>
        <s v="CUST038"/>
        <s v="CUST027"/>
        <s v="CUST025"/>
        <s v="CUST010"/>
        <s v="CUST048"/>
        <s v="CUST018"/>
        <s v="CUST012"/>
        <s v="CUST044"/>
        <s v="CUST036"/>
        <s v="CUST014"/>
        <s v="CUST030"/>
        <s v="CUST029"/>
        <s v="CUST006"/>
        <s v="CUST002"/>
        <s v="CUST031"/>
        <s v="CUST008"/>
        <s v="CUST035"/>
        <s v="CUST019"/>
        <s v="CUST040"/>
        <s v="CUST004"/>
        <s v="CUST028"/>
        <s v="CUST050"/>
        <s v="CUST049"/>
        <s v="CUST007"/>
        <s v="CUST020"/>
        <s v="CUST033"/>
        <s v="CUST047"/>
        <s v="CUST016"/>
        <s v="CUST039"/>
        <s v="CUST034"/>
        <s v="CUST032"/>
        <s v="CUST042"/>
        <s v="CUST011"/>
        <s v="CUST015"/>
        <s v="CUST045"/>
        <s v="CUST005"/>
        <s v="CUST037"/>
        <s v="CUST001"/>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ount="10">
        <s v="P009"/>
        <s v="P005"/>
        <s v="P008"/>
        <s v="P003"/>
        <s v="P001"/>
        <s v="P002"/>
        <s v="P007"/>
        <s v="P004"/>
        <s v="P010"/>
        <s v="P006"/>
      </sharedItems>
    </cacheField>
    <cacheField name="Product_Name" numFmtId="0">
      <sharedItems count="10">
        <s v="Monitor"/>
        <s v="Blender"/>
        <s v="Bookshelf"/>
        <s v="Headphones"/>
        <s v="Laptop"/>
        <s v="Smartphone"/>
        <s v="Desk"/>
        <s v="Coffee Maker"/>
        <s v="Keyboard"/>
        <s v="Office Chair"/>
      </sharedItems>
    </cacheField>
    <cacheField name="Category" numFmtId="0">
      <sharedItems/>
    </cacheField>
    <cacheField name="Quantity" numFmtId="2">
      <sharedItems containsSemiMixedTypes="0" containsString="0" containsNumber="1" minValue="1" maxValue="20.004000800160032"/>
    </cacheField>
    <cacheField name="Unit_Price" numFmtId="0">
      <sharedItems containsSemiMixedTypes="0" containsString="0" containsNumber="1" minValue="29.99" maxValue="35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2">
      <sharedItems containsSemiMixedTypes="0" containsString="0" containsNumber="1" minValue="59.98" maxValue="10799.97"/>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x v="0"/>
    <x v="0"/>
    <x v="0"/>
    <x v="0"/>
    <s v="Electronics"/>
    <n v="3"/>
    <n v="1999.99"/>
    <x v="0"/>
    <x v="0"/>
    <s v="Basic"/>
    <d v="2021-08-17T00:00:00"/>
    <n v="5999.97"/>
  </r>
  <r>
    <s v="TRX0023"/>
    <x v="1"/>
    <x v="1"/>
    <x v="1"/>
    <x v="0"/>
    <x v="0"/>
    <s v="Electronics"/>
    <n v="3"/>
    <n v="3599.99"/>
    <x v="1"/>
    <x v="0"/>
    <s v="Premium"/>
    <d v="2022-01-14T00:00:00"/>
    <n v="10799.97"/>
  </r>
  <r>
    <s v="TRX0139"/>
    <x v="2"/>
    <x v="2"/>
    <x v="2"/>
    <x v="1"/>
    <x v="1"/>
    <s v="Appliances"/>
    <n v="3"/>
    <n v="2899.99"/>
    <x v="2"/>
    <x v="1"/>
    <s v="Standard"/>
    <d v="2023-12-02T00:00:00"/>
    <n v="8699.9699999999993"/>
  </r>
  <r>
    <s v="TRX0043"/>
    <x v="3"/>
    <x v="3"/>
    <x v="3"/>
    <x v="1"/>
    <x v="1"/>
    <s v="Appliances"/>
    <n v="3"/>
    <n v="959.99"/>
    <x v="0"/>
    <x v="2"/>
    <s v="Premium"/>
    <d v="2023-07-07T00:00:00"/>
    <n v="2879.9700000000003"/>
  </r>
  <r>
    <s v="TRX0212"/>
    <x v="3"/>
    <x v="4"/>
    <x v="4"/>
    <x v="2"/>
    <x v="2"/>
    <s v="Furniture"/>
    <n v="5"/>
    <n v="149.99"/>
    <x v="1"/>
    <x v="2"/>
    <s v="Premium"/>
    <d v="2024-01-04T00:00:00"/>
    <n v="749.95"/>
  </r>
  <r>
    <s v="TRX0092"/>
    <x v="4"/>
    <x v="5"/>
    <x v="5"/>
    <x v="1"/>
    <x v="1"/>
    <s v="Appliances"/>
    <n v="2"/>
    <n v="29.99"/>
    <x v="0"/>
    <x v="3"/>
    <s v="Standard"/>
    <d v="2022-07-04T00:00:00"/>
    <n v="59.98"/>
  </r>
  <r>
    <s v="TRX0193"/>
    <x v="4"/>
    <x v="5"/>
    <x v="5"/>
    <x v="3"/>
    <x v="3"/>
    <s v="Electronics"/>
    <n v="5"/>
    <n v="119.99"/>
    <x v="1"/>
    <x v="0"/>
    <s v="Standard"/>
    <d v="2021-08-10T00:00:00"/>
    <n v="599.94999999999993"/>
  </r>
  <r>
    <s v="TRX0240"/>
    <x v="4"/>
    <x v="6"/>
    <x v="6"/>
    <x v="1"/>
    <x v="1"/>
    <s v="Appliances"/>
    <n v="20.004000800160032"/>
    <n v="49.99"/>
    <x v="3"/>
    <x v="1"/>
    <s v="Basic"/>
    <d v="2023-03-22T00:00:00"/>
    <n v="1000"/>
  </r>
  <r>
    <s v="TRX0135"/>
    <x v="5"/>
    <x v="7"/>
    <x v="7"/>
    <x v="4"/>
    <x v="4"/>
    <s v="Electronics"/>
    <n v="3"/>
    <n v="899.99"/>
    <x v="2"/>
    <x v="4"/>
    <s v="Standard"/>
    <d v="2024-01-08T00:00:00"/>
    <n v="2699.9700000000003"/>
  </r>
  <r>
    <s v="TRX0185"/>
    <x v="6"/>
    <x v="8"/>
    <x v="8"/>
    <x v="1"/>
    <x v="1"/>
    <s v="Appliances"/>
    <n v="3"/>
    <n v="59.99"/>
    <x v="0"/>
    <x v="3"/>
    <s v="Premium"/>
    <d v="2023-10-08T00:00:00"/>
    <n v="179.97"/>
  </r>
  <r>
    <s v="TRX0138"/>
    <x v="6"/>
    <x v="9"/>
    <x v="9"/>
    <x v="2"/>
    <x v="2"/>
    <s v="Furniture"/>
    <n v="1"/>
    <n v="149.99"/>
    <x v="1"/>
    <x v="3"/>
    <s v="Standard"/>
    <d v="2023-06-26T00:00:00"/>
    <n v="149.99"/>
  </r>
  <r>
    <s v="TRX0209"/>
    <x v="6"/>
    <x v="3"/>
    <x v="3"/>
    <x v="2"/>
    <x v="2"/>
    <s v="Furniture"/>
    <n v="5"/>
    <n v="149.99"/>
    <x v="3"/>
    <x v="2"/>
    <s v="Basic"/>
    <d v="2022-09-26T00:00:00"/>
    <n v="749.95"/>
  </r>
  <r>
    <s v="TRX0246"/>
    <x v="6"/>
    <x v="10"/>
    <x v="10"/>
    <x v="2"/>
    <x v="2"/>
    <s v="Furniture"/>
    <n v="3"/>
    <n v="149.99"/>
    <x v="0"/>
    <x v="2"/>
    <s v="Premium"/>
    <d v="2022-09-02T00:00:00"/>
    <n v="449.97"/>
  </r>
  <r>
    <s v="TRX0067"/>
    <x v="7"/>
    <x v="11"/>
    <x v="11"/>
    <x v="1"/>
    <x v="1"/>
    <s v="Appliances"/>
    <n v="3"/>
    <n v="59.99"/>
    <x v="1"/>
    <x v="2"/>
    <s v="Standard"/>
    <d v="2024-02-29T00:00:00"/>
    <n v="179.97"/>
  </r>
  <r>
    <s v="TRX0191"/>
    <x v="7"/>
    <x v="12"/>
    <x v="12"/>
    <x v="5"/>
    <x v="5"/>
    <s v="Electronics"/>
    <n v="3"/>
    <n v="699.99"/>
    <x v="1"/>
    <x v="3"/>
    <s v="Basic"/>
    <d v="2022-01-16T00:00:00"/>
    <n v="2099.9700000000003"/>
  </r>
  <r>
    <s v="TRX0230"/>
    <x v="7"/>
    <x v="13"/>
    <x v="13"/>
    <x v="4"/>
    <x v="4"/>
    <s v="Electronics"/>
    <n v="1"/>
    <n v="899.99"/>
    <x v="3"/>
    <x v="2"/>
    <s v="Standard"/>
    <d v="2022-12-25T00:00:00"/>
    <n v="899.99"/>
  </r>
  <r>
    <s v="TRX0049"/>
    <x v="8"/>
    <x v="14"/>
    <x v="14"/>
    <x v="2"/>
    <x v="2"/>
    <s v="Furniture"/>
    <n v="4"/>
    <n v="149.99"/>
    <x v="3"/>
    <x v="2"/>
    <s v="Premium"/>
    <d v="2024-03-23T00:00:00"/>
    <n v="599.96"/>
  </r>
  <r>
    <s v="TRX0134"/>
    <x v="8"/>
    <x v="15"/>
    <x v="15"/>
    <x v="5"/>
    <x v="5"/>
    <s v="Electronics"/>
    <n v="2"/>
    <n v="699.99"/>
    <x v="0"/>
    <x v="2"/>
    <s v="Basic"/>
    <d v="2022-08-08T00:00:00"/>
    <n v="1399.98"/>
  </r>
  <r>
    <s v="TRX0122"/>
    <x v="8"/>
    <x v="14"/>
    <x v="14"/>
    <x v="4"/>
    <x v="4"/>
    <s v="Electronics"/>
    <n v="4"/>
    <n v="899.99"/>
    <x v="1"/>
    <x v="3"/>
    <s v="Standard"/>
    <d v="2024-02-05T00:00:00"/>
    <n v="3599.96"/>
  </r>
  <r>
    <s v="TRX0222"/>
    <x v="8"/>
    <x v="16"/>
    <x v="16"/>
    <x v="0"/>
    <x v="0"/>
    <s v="Electronics"/>
    <n v="3"/>
    <n v="249.99"/>
    <x v="1"/>
    <x v="2"/>
    <s v="Premium"/>
    <d v="2023-10-25T00:00:00"/>
    <n v="749.97"/>
  </r>
  <r>
    <s v="TRX0231"/>
    <x v="9"/>
    <x v="17"/>
    <x v="17"/>
    <x v="5"/>
    <x v="5"/>
    <s v="Electronics"/>
    <n v="5"/>
    <n v="699.99"/>
    <x v="0"/>
    <x v="3"/>
    <s v="Basic"/>
    <d v="2023-08-29T00:00:00"/>
    <n v="3499.95"/>
  </r>
  <r>
    <s v="TRX0239"/>
    <x v="10"/>
    <x v="18"/>
    <x v="18"/>
    <x v="5"/>
    <x v="5"/>
    <s v="Electronics"/>
    <n v="4"/>
    <n v="699.99"/>
    <x v="0"/>
    <x v="4"/>
    <s v="Standard"/>
    <d v="2021-08-01T00:00:00"/>
    <n v="2799.96"/>
  </r>
  <r>
    <s v="TRX0204"/>
    <x v="11"/>
    <x v="19"/>
    <x v="19"/>
    <x v="0"/>
    <x v="0"/>
    <s v="Electronics"/>
    <n v="4"/>
    <n v="249.99"/>
    <x v="2"/>
    <x v="2"/>
    <s v="Standard"/>
    <d v="2021-09-29T00:00:00"/>
    <n v="999.96"/>
  </r>
  <r>
    <s v="TRX0242"/>
    <x v="12"/>
    <x v="14"/>
    <x v="14"/>
    <x v="6"/>
    <x v="6"/>
    <s v="Furniture"/>
    <n v="4"/>
    <n v="299.99"/>
    <x v="0"/>
    <x v="3"/>
    <s v="Premium"/>
    <d v="2022-06-04T00:00:00"/>
    <n v="1199.96"/>
  </r>
  <r>
    <s v="TRX0071"/>
    <x v="13"/>
    <x v="20"/>
    <x v="20"/>
    <x v="0"/>
    <x v="0"/>
    <s v="Electronics"/>
    <n v="5"/>
    <n v="249.99"/>
    <x v="1"/>
    <x v="3"/>
    <s v="Standard"/>
    <d v="2021-11-25T00:00:00"/>
    <n v="1249.95"/>
  </r>
  <r>
    <s v="TRX0040"/>
    <x v="14"/>
    <x v="9"/>
    <x v="9"/>
    <x v="6"/>
    <x v="6"/>
    <s v="Furniture"/>
    <n v="5"/>
    <n v="299.99"/>
    <x v="2"/>
    <x v="4"/>
    <s v="Basic"/>
    <d v="2023-08-30T00:00:00"/>
    <n v="1499.95"/>
  </r>
  <r>
    <s v="TRX0235"/>
    <x v="14"/>
    <x v="21"/>
    <x v="21"/>
    <x v="7"/>
    <x v="7"/>
    <s v="Appliances"/>
    <n v="3"/>
    <n v="79.989999999999995"/>
    <x v="2"/>
    <x v="4"/>
    <s v="Premium"/>
    <d v="2023-03-27T00:00:00"/>
    <n v="239.96999999999997"/>
  </r>
  <r>
    <s v="TRX0004"/>
    <x v="14"/>
    <x v="18"/>
    <x v="18"/>
    <x v="8"/>
    <x v="8"/>
    <s v="Electronics"/>
    <n v="5"/>
    <n v="89.99"/>
    <x v="0"/>
    <x v="2"/>
    <s v="Premium"/>
    <d v="2022-12-24T00:00:00"/>
    <n v="449.95"/>
  </r>
  <r>
    <s v="TRX0063"/>
    <x v="15"/>
    <x v="22"/>
    <x v="22"/>
    <x v="1"/>
    <x v="1"/>
    <s v="Appliances"/>
    <n v="2"/>
    <n v="59.99"/>
    <x v="3"/>
    <x v="0"/>
    <s v="Standard"/>
    <d v="2023-10-15T00:00:00"/>
    <n v="119.98"/>
  </r>
  <r>
    <s v="TRX0241"/>
    <x v="16"/>
    <x v="23"/>
    <x v="23"/>
    <x v="1"/>
    <x v="1"/>
    <s v="Appliances"/>
    <n v="4"/>
    <n v="59.99"/>
    <x v="3"/>
    <x v="4"/>
    <s v="Standard"/>
    <d v="2022-11-02T00:00:00"/>
    <n v="239.96"/>
  </r>
  <r>
    <s v="TRX0029"/>
    <x v="16"/>
    <x v="6"/>
    <x v="6"/>
    <x v="9"/>
    <x v="9"/>
    <s v="Furniture"/>
    <n v="5"/>
    <n v="199.99"/>
    <x v="0"/>
    <x v="1"/>
    <s v="Standard"/>
    <d v="2021-08-04T00:00:00"/>
    <n v="999.95"/>
  </r>
  <r>
    <s v="TRX0194"/>
    <x v="17"/>
    <x v="24"/>
    <x v="24"/>
    <x v="2"/>
    <x v="2"/>
    <s v="Furniture"/>
    <n v="2"/>
    <n v="149.99"/>
    <x v="1"/>
    <x v="3"/>
    <s v="Basic"/>
    <d v="2022-09-19T00:00:00"/>
    <n v="299.98"/>
  </r>
  <r>
    <s v="TRX0130"/>
    <x v="18"/>
    <x v="25"/>
    <x v="25"/>
    <x v="2"/>
    <x v="2"/>
    <s v="Furniture"/>
    <n v="3"/>
    <n v="149.99"/>
    <x v="1"/>
    <x v="3"/>
    <s v="Premium"/>
    <d v="2023-05-22T00:00:00"/>
    <n v="449.97"/>
  </r>
  <r>
    <s v="TRX0041"/>
    <x v="19"/>
    <x v="2"/>
    <x v="2"/>
    <x v="4"/>
    <x v="4"/>
    <s v="Electronics"/>
    <n v="1"/>
    <n v="899.99"/>
    <x v="1"/>
    <x v="3"/>
    <s v="Premium"/>
    <d v="2022-01-17T00:00:00"/>
    <n v="899.99"/>
  </r>
  <r>
    <s v="TRX0232"/>
    <x v="20"/>
    <x v="18"/>
    <x v="18"/>
    <x v="6"/>
    <x v="6"/>
    <s v="Furniture"/>
    <n v="3"/>
    <n v="299.99"/>
    <x v="1"/>
    <x v="4"/>
    <s v="Basic"/>
    <d v="2022-09-20T00:00:00"/>
    <n v="899.97"/>
  </r>
  <r>
    <s v="TRX0021"/>
    <x v="21"/>
    <x v="24"/>
    <x v="24"/>
    <x v="7"/>
    <x v="7"/>
    <s v="Appliances"/>
    <n v="3"/>
    <n v="79.989999999999995"/>
    <x v="0"/>
    <x v="1"/>
    <s v="Basic"/>
    <d v="2023-04-30T00:00:00"/>
    <n v="239.96999999999997"/>
  </r>
  <r>
    <s v="TRX0245"/>
    <x v="22"/>
    <x v="26"/>
    <x v="26"/>
    <x v="9"/>
    <x v="9"/>
    <s v="Furniture"/>
    <n v="3"/>
    <n v="199.99"/>
    <x v="1"/>
    <x v="2"/>
    <s v="Premium"/>
    <d v="2024-01-01T00:00:00"/>
    <n v="599.97"/>
  </r>
  <r>
    <s v="TRX0015"/>
    <x v="23"/>
    <x v="27"/>
    <x v="27"/>
    <x v="5"/>
    <x v="5"/>
    <s v="Electronics"/>
    <n v="5"/>
    <n v="699.99"/>
    <x v="2"/>
    <x v="3"/>
    <s v="Standard"/>
    <d v="2021-07-30T00:00:00"/>
    <n v="3499.95"/>
  </r>
  <r>
    <s v="TRX0202"/>
    <x v="24"/>
    <x v="28"/>
    <x v="28"/>
    <x v="8"/>
    <x v="8"/>
    <s v="Electronics"/>
    <n v="3"/>
    <n v="89.99"/>
    <x v="2"/>
    <x v="0"/>
    <s v="Premium"/>
    <d v="2023-07-13T00:00:00"/>
    <n v="269.96999999999997"/>
  </r>
  <r>
    <s v="TRX0042"/>
    <x v="25"/>
    <x v="29"/>
    <x v="29"/>
    <x v="7"/>
    <x v="7"/>
    <s v="Appliances"/>
    <n v="1"/>
    <n v="79.989999999999995"/>
    <x v="0"/>
    <x v="2"/>
    <s v="Standard"/>
    <d v="2022-12-22T00:00:00"/>
    <n v="79.989999999999995"/>
  </r>
  <r>
    <s v="TRX0128"/>
    <x v="26"/>
    <x v="30"/>
    <x v="30"/>
    <x v="1"/>
    <x v="1"/>
    <s v="Appliances"/>
    <n v="2"/>
    <n v="59.99"/>
    <x v="0"/>
    <x v="3"/>
    <s v="Basic"/>
    <d v="2024-04-08T00:00:00"/>
    <n v="119.98"/>
  </r>
  <r>
    <s v="TRX0117"/>
    <x v="26"/>
    <x v="6"/>
    <x v="6"/>
    <x v="8"/>
    <x v="8"/>
    <s v="Electronics"/>
    <n v="1"/>
    <n v="89.99"/>
    <x v="0"/>
    <x v="2"/>
    <s v="Basic"/>
    <d v="2023-08-03T00:00:00"/>
    <n v="89.99"/>
  </r>
  <r>
    <s v="TRX0208"/>
    <x v="27"/>
    <x v="31"/>
    <x v="31"/>
    <x v="8"/>
    <x v="8"/>
    <s v="Electronics"/>
    <n v="5"/>
    <n v="89.99"/>
    <x v="1"/>
    <x v="4"/>
    <s v="Standard"/>
    <d v="2022-01-26T00:00:00"/>
    <n v="449.95"/>
  </r>
  <r>
    <s v="TRX0234"/>
    <x v="28"/>
    <x v="1"/>
    <x v="1"/>
    <x v="0"/>
    <x v="0"/>
    <s v="Electronics"/>
    <n v="5"/>
    <n v="249.99"/>
    <x v="1"/>
    <x v="4"/>
    <s v="Standard"/>
    <d v="2022-05-26T00:00:00"/>
    <n v="1249.95"/>
  </r>
  <r>
    <s v="TRX0121"/>
    <x v="28"/>
    <x v="32"/>
    <x v="32"/>
    <x v="8"/>
    <x v="8"/>
    <s v="Electronics"/>
    <n v="1"/>
    <n v="89.99"/>
    <x v="1"/>
    <x v="1"/>
    <s v="Standard"/>
    <d v="2022-01-21T00:00:00"/>
    <n v="89.99"/>
  </r>
  <r>
    <s v="TRX0220"/>
    <x v="29"/>
    <x v="4"/>
    <x v="4"/>
    <x v="2"/>
    <x v="2"/>
    <s v="Furniture"/>
    <n v="2"/>
    <n v="149.99"/>
    <x v="0"/>
    <x v="4"/>
    <s v="Premium"/>
    <d v="2022-03-25T00:00:00"/>
    <n v="299.98"/>
  </r>
  <r>
    <s v="TRX0093"/>
    <x v="30"/>
    <x v="33"/>
    <x v="33"/>
    <x v="1"/>
    <x v="1"/>
    <s v="Appliances"/>
    <n v="4"/>
    <n v="59.99"/>
    <x v="0"/>
    <x v="4"/>
    <s v="Standard"/>
    <d v="2021-08-27T00:00:00"/>
    <n v="239.96"/>
  </r>
  <r>
    <s v="TRX0088"/>
    <x v="31"/>
    <x v="24"/>
    <x v="24"/>
    <x v="8"/>
    <x v="8"/>
    <s v="Electronics"/>
    <n v="5"/>
    <n v="89.99"/>
    <x v="0"/>
    <x v="0"/>
    <s v="Premium"/>
    <d v="2022-01-18T00:00:00"/>
    <n v="449.95"/>
  </r>
  <r>
    <s v="TRX0115"/>
    <x v="32"/>
    <x v="18"/>
    <x v="18"/>
    <x v="8"/>
    <x v="8"/>
    <s v="Electronics"/>
    <n v="2"/>
    <n v="89.99"/>
    <x v="1"/>
    <x v="1"/>
    <s v="Premium"/>
    <d v="2021-10-02T00:00:00"/>
    <n v="179.98"/>
  </r>
  <r>
    <s v="TRX0154"/>
    <x v="32"/>
    <x v="0"/>
    <x v="0"/>
    <x v="4"/>
    <x v="4"/>
    <s v="Electronics"/>
    <n v="5"/>
    <n v="899.99"/>
    <x v="1"/>
    <x v="1"/>
    <s v="Standard"/>
    <d v="2023-02-17T00:00:00"/>
    <n v="4499.95"/>
  </r>
  <r>
    <s v="TRX0044"/>
    <x v="32"/>
    <x v="23"/>
    <x v="23"/>
    <x v="4"/>
    <x v="4"/>
    <s v="Electronics"/>
    <n v="5"/>
    <n v="899.99"/>
    <x v="2"/>
    <x v="4"/>
    <s v="Premium"/>
    <d v="2023-12-18T00:00:00"/>
    <n v="4499.95"/>
  </r>
  <r>
    <s v="TRX0061"/>
    <x v="33"/>
    <x v="32"/>
    <x v="32"/>
    <x v="1"/>
    <x v="1"/>
    <s v="Appliances"/>
    <n v="1"/>
    <n v="59.99"/>
    <x v="3"/>
    <x v="3"/>
    <s v="Premium"/>
    <d v="2023-09-21T00:00:00"/>
    <n v="59.99"/>
  </r>
  <r>
    <s v="TRX0150"/>
    <x v="33"/>
    <x v="27"/>
    <x v="27"/>
    <x v="6"/>
    <x v="6"/>
    <s v="Furniture"/>
    <n v="2"/>
    <n v="299.99"/>
    <x v="3"/>
    <x v="4"/>
    <s v="Standard"/>
    <d v="2023-11-23T00:00:00"/>
    <n v="599.98"/>
  </r>
  <r>
    <s v="TRX0025"/>
    <x v="34"/>
    <x v="34"/>
    <x v="34"/>
    <x v="8"/>
    <x v="8"/>
    <s v="Electronics"/>
    <n v="4"/>
    <n v="89.99"/>
    <x v="3"/>
    <x v="1"/>
    <s v="Basic"/>
    <d v="2023-12-21T00:00:00"/>
    <n v="359.96"/>
  </r>
  <r>
    <s v="TRX0078"/>
    <x v="35"/>
    <x v="2"/>
    <x v="2"/>
    <x v="7"/>
    <x v="7"/>
    <s v="Appliances"/>
    <n v="1"/>
    <n v="79.989999999999995"/>
    <x v="2"/>
    <x v="0"/>
    <s v="Premium"/>
    <d v="2024-03-01T00:00:00"/>
    <n v="79.989999999999995"/>
  </r>
  <r>
    <s v="TRX0007"/>
    <x v="35"/>
    <x v="7"/>
    <x v="7"/>
    <x v="8"/>
    <x v="8"/>
    <s v="Electronics"/>
    <n v="2"/>
    <n v="89.99"/>
    <x v="0"/>
    <x v="3"/>
    <s v="Basic"/>
    <d v="2021-08-30T00:00:00"/>
    <n v="179.98"/>
  </r>
  <r>
    <s v="TRX0184"/>
    <x v="36"/>
    <x v="3"/>
    <x v="3"/>
    <x v="5"/>
    <x v="5"/>
    <s v="Electronics"/>
    <n v="3"/>
    <n v="699.99"/>
    <x v="1"/>
    <x v="4"/>
    <s v="Premium"/>
    <d v="2023-06-25T00:00:00"/>
    <n v="2099.9700000000003"/>
  </r>
  <r>
    <s v="TRX0104"/>
    <x v="36"/>
    <x v="18"/>
    <x v="18"/>
    <x v="4"/>
    <x v="4"/>
    <s v="Electronics"/>
    <n v="4"/>
    <n v="899.99"/>
    <x v="1"/>
    <x v="4"/>
    <s v="Premium"/>
    <d v="2023-03-08T00:00:00"/>
    <n v="3599.96"/>
  </r>
  <r>
    <s v="TRX0127"/>
    <x v="37"/>
    <x v="22"/>
    <x v="22"/>
    <x v="2"/>
    <x v="2"/>
    <s v="Furniture"/>
    <n v="1"/>
    <n v="149.99"/>
    <x v="2"/>
    <x v="4"/>
    <s v="Basic"/>
    <d v="2022-10-17T00:00:00"/>
    <n v="149.99"/>
  </r>
  <r>
    <s v="TRX0096"/>
    <x v="38"/>
    <x v="25"/>
    <x v="25"/>
    <x v="8"/>
    <x v="8"/>
    <s v="Electronics"/>
    <n v="2"/>
    <n v="89.99"/>
    <x v="2"/>
    <x v="0"/>
    <s v="Premium"/>
    <d v="2023-12-15T00:00:00"/>
    <n v="179.98"/>
  </r>
  <r>
    <s v="TRX0192"/>
    <x v="39"/>
    <x v="6"/>
    <x v="6"/>
    <x v="8"/>
    <x v="8"/>
    <s v="Electronics"/>
    <n v="1"/>
    <n v="89.99"/>
    <x v="2"/>
    <x v="3"/>
    <s v="Standard"/>
    <d v="2022-08-29T00:00:00"/>
    <n v="89.99"/>
  </r>
  <r>
    <s v="TRX0052"/>
    <x v="40"/>
    <x v="9"/>
    <x v="9"/>
    <x v="8"/>
    <x v="8"/>
    <s v="Electronics"/>
    <n v="1"/>
    <n v="89.99"/>
    <x v="0"/>
    <x v="1"/>
    <s v="Standard"/>
    <d v="2022-02-19T00:00:00"/>
    <n v="89.99"/>
  </r>
  <r>
    <s v="TRX0070"/>
    <x v="40"/>
    <x v="35"/>
    <x v="35"/>
    <x v="7"/>
    <x v="7"/>
    <s v="Appliances"/>
    <n v="5"/>
    <n v="79.989999999999995"/>
    <x v="3"/>
    <x v="0"/>
    <s v="Basic"/>
    <d v="2023-02-24T00:00:00"/>
    <n v="399.95"/>
  </r>
  <r>
    <s v="TRX0086"/>
    <x v="41"/>
    <x v="36"/>
    <x v="36"/>
    <x v="2"/>
    <x v="2"/>
    <s v="Furniture"/>
    <n v="1"/>
    <n v="149.99"/>
    <x v="2"/>
    <x v="2"/>
    <s v="Basic"/>
    <d v="2021-08-13T00:00:00"/>
    <n v="149.99"/>
  </r>
  <r>
    <s v="TRX0113"/>
    <x v="41"/>
    <x v="4"/>
    <x v="4"/>
    <x v="5"/>
    <x v="5"/>
    <s v="Electronics"/>
    <n v="2"/>
    <n v="699.99"/>
    <x v="2"/>
    <x v="4"/>
    <s v="Premium"/>
    <d v="2024-04-07T00:00:00"/>
    <n v="1399.98"/>
  </r>
  <r>
    <s v="TRX0114"/>
    <x v="41"/>
    <x v="17"/>
    <x v="17"/>
    <x v="8"/>
    <x v="8"/>
    <s v="Electronics"/>
    <n v="5"/>
    <n v="89.99"/>
    <x v="3"/>
    <x v="2"/>
    <s v="Premium"/>
    <d v="2023-08-23T00:00:00"/>
    <n v="449.95"/>
  </r>
  <r>
    <s v="TRX0136"/>
    <x v="42"/>
    <x v="34"/>
    <x v="34"/>
    <x v="1"/>
    <x v="1"/>
    <s v="Appliances"/>
    <n v="4"/>
    <n v="59.99"/>
    <x v="0"/>
    <x v="1"/>
    <s v="Standard"/>
    <d v="2021-11-09T00:00:00"/>
    <n v="239.96"/>
  </r>
  <r>
    <s v="TRX0018"/>
    <x v="43"/>
    <x v="1"/>
    <x v="1"/>
    <x v="3"/>
    <x v="3"/>
    <s v="Electronics"/>
    <n v="1"/>
    <n v="149.99"/>
    <x v="0"/>
    <x v="0"/>
    <s v="Standard"/>
    <d v="2022-12-14T00:00:00"/>
    <n v="149.99"/>
  </r>
  <r>
    <s v="TRX0141"/>
    <x v="43"/>
    <x v="37"/>
    <x v="37"/>
    <x v="6"/>
    <x v="6"/>
    <s v="Furniture"/>
    <n v="1"/>
    <n v="299.99"/>
    <x v="1"/>
    <x v="2"/>
    <s v="Premium"/>
    <d v="2022-11-26T00:00:00"/>
    <n v="299.99"/>
  </r>
  <r>
    <s v="TRX0097"/>
    <x v="44"/>
    <x v="37"/>
    <x v="37"/>
    <x v="9"/>
    <x v="9"/>
    <s v="Furniture"/>
    <n v="2"/>
    <n v="199.99"/>
    <x v="0"/>
    <x v="2"/>
    <s v="Basic"/>
    <d v="2021-12-11T00:00:00"/>
    <n v="399.98"/>
  </r>
  <r>
    <s v="TRX0169"/>
    <x v="45"/>
    <x v="38"/>
    <x v="38"/>
    <x v="1"/>
    <x v="1"/>
    <s v="Appliances"/>
    <n v="3"/>
    <n v="59.99"/>
    <x v="1"/>
    <x v="3"/>
    <s v="Basic"/>
    <d v="2023-07-23T00:00:00"/>
    <n v="179.97"/>
  </r>
  <r>
    <s v="TRX0216"/>
    <x v="45"/>
    <x v="10"/>
    <x v="10"/>
    <x v="2"/>
    <x v="2"/>
    <s v="Furniture"/>
    <n v="3"/>
    <n v="149.99"/>
    <x v="0"/>
    <x v="0"/>
    <s v="Premium"/>
    <d v="2023-09-30T00:00:00"/>
    <n v="449.97"/>
  </r>
  <r>
    <s v="TRX0131"/>
    <x v="46"/>
    <x v="8"/>
    <x v="8"/>
    <x v="9"/>
    <x v="9"/>
    <s v="Furniture"/>
    <n v="3"/>
    <n v="199.99"/>
    <x v="0"/>
    <x v="2"/>
    <s v="Premium"/>
    <d v="2023-11-24T00:00:00"/>
    <n v="599.97"/>
  </r>
  <r>
    <s v="TRX0162"/>
    <x v="47"/>
    <x v="30"/>
    <x v="30"/>
    <x v="4"/>
    <x v="4"/>
    <s v="Electronics"/>
    <n v="1"/>
    <n v="899.99"/>
    <x v="0"/>
    <x v="0"/>
    <s v="Standard"/>
    <d v="2023-09-10T00:00:00"/>
    <n v="899.99"/>
  </r>
  <r>
    <s v="TRX0244"/>
    <x v="48"/>
    <x v="1"/>
    <x v="1"/>
    <x v="4"/>
    <x v="4"/>
    <s v="Electronics"/>
    <n v="5"/>
    <n v="899.99"/>
    <x v="3"/>
    <x v="1"/>
    <s v="Standard"/>
    <d v="2022-12-04T00:00:00"/>
    <n v="4499.95"/>
  </r>
  <r>
    <s v="TRX0006"/>
    <x v="49"/>
    <x v="35"/>
    <x v="35"/>
    <x v="1"/>
    <x v="1"/>
    <s v="Appliances"/>
    <n v="2"/>
    <n v="59.99"/>
    <x v="0"/>
    <x v="2"/>
    <s v="Standard"/>
    <d v="2023-08-14T00:00:00"/>
    <n v="119.98"/>
  </r>
  <r>
    <s v="TRX0215"/>
    <x v="49"/>
    <x v="38"/>
    <x v="38"/>
    <x v="0"/>
    <x v="0"/>
    <s v="Electronics"/>
    <n v="4"/>
    <n v="249.99"/>
    <x v="3"/>
    <x v="0"/>
    <s v="Standard"/>
    <d v="2023-07-20T00:00:00"/>
    <n v="999.96"/>
  </r>
  <r>
    <s v="TRX0080"/>
    <x v="50"/>
    <x v="17"/>
    <x v="17"/>
    <x v="0"/>
    <x v="0"/>
    <s v="Electronics"/>
    <n v="2"/>
    <n v="249.99"/>
    <x v="0"/>
    <x v="2"/>
    <s v="Premium"/>
    <d v="2023-08-26T00:00:00"/>
    <n v="499.98"/>
  </r>
  <r>
    <s v="TRX0228"/>
    <x v="50"/>
    <x v="29"/>
    <x v="29"/>
    <x v="6"/>
    <x v="6"/>
    <s v="Furniture"/>
    <n v="1"/>
    <n v="299.99"/>
    <x v="0"/>
    <x v="1"/>
    <s v="Basic"/>
    <d v="2023-02-25T00:00:00"/>
    <n v="299.99"/>
  </r>
  <r>
    <s v="TRX0157"/>
    <x v="51"/>
    <x v="14"/>
    <x v="14"/>
    <x v="8"/>
    <x v="8"/>
    <s v="Electronics"/>
    <n v="2"/>
    <n v="89.99"/>
    <x v="2"/>
    <x v="1"/>
    <s v="Basic"/>
    <d v="2023-02-19T00:00:00"/>
    <n v="179.98"/>
  </r>
  <r>
    <s v="TRX0002"/>
    <x v="51"/>
    <x v="29"/>
    <x v="29"/>
    <x v="6"/>
    <x v="6"/>
    <s v="Furniture"/>
    <n v="3"/>
    <n v="299.99"/>
    <x v="0"/>
    <x v="0"/>
    <s v="Basic"/>
    <d v="2022-06-20T00:00:00"/>
    <n v="899.97"/>
  </r>
  <r>
    <s v="TRX0217"/>
    <x v="52"/>
    <x v="14"/>
    <x v="14"/>
    <x v="5"/>
    <x v="5"/>
    <s v="Electronics"/>
    <n v="2"/>
    <n v="699.99"/>
    <x v="1"/>
    <x v="2"/>
    <s v="Premium"/>
    <d v="2023-03-14T00:00:00"/>
    <n v="1399.98"/>
  </r>
  <r>
    <s v="TRX0249"/>
    <x v="53"/>
    <x v="22"/>
    <x v="22"/>
    <x v="4"/>
    <x v="4"/>
    <s v="Electronics"/>
    <n v="4"/>
    <n v="899.99"/>
    <x v="3"/>
    <x v="1"/>
    <s v="Standard"/>
    <d v="2021-11-23T00:00:00"/>
    <n v="3599.96"/>
  </r>
  <r>
    <s v="TRX0065"/>
    <x v="54"/>
    <x v="39"/>
    <x v="39"/>
    <x v="2"/>
    <x v="2"/>
    <s v="Furniture"/>
    <n v="2"/>
    <n v="149.99"/>
    <x v="1"/>
    <x v="3"/>
    <s v="Basic"/>
    <d v="2021-12-12T00:00:00"/>
    <n v="299.98"/>
  </r>
  <r>
    <s v="TRX0176"/>
    <x v="55"/>
    <x v="19"/>
    <x v="19"/>
    <x v="2"/>
    <x v="2"/>
    <s v="Furniture"/>
    <n v="2"/>
    <n v="149.99"/>
    <x v="3"/>
    <x v="4"/>
    <s v="Standard"/>
    <d v="2022-04-16T00:00:00"/>
    <n v="299.98"/>
  </r>
  <r>
    <s v="TRX0101"/>
    <x v="56"/>
    <x v="15"/>
    <x v="15"/>
    <x v="8"/>
    <x v="8"/>
    <s v="Electronics"/>
    <n v="1"/>
    <n v="89.99"/>
    <x v="1"/>
    <x v="2"/>
    <s v="Standard"/>
    <d v="2024-04-11T00:00:00"/>
    <n v="89.99"/>
  </r>
  <r>
    <s v="TRX0205"/>
    <x v="57"/>
    <x v="14"/>
    <x v="14"/>
    <x v="6"/>
    <x v="6"/>
    <s v="Furniture"/>
    <n v="5"/>
    <n v="299.99"/>
    <x v="1"/>
    <x v="2"/>
    <s v="Basic"/>
    <d v="2023-02-08T00:00:00"/>
    <n v="1499.95"/>
  </r>
  <r>
    <s v="TRX0020"/>
    <x v="58"/>
    <x v="35"/>
    <x v="35"/>
    <x v="3"/>
    <x v="3"/>
    <s v="Electronics"/>
    <n v="4"/>
    <n v="149.99"/>
    <x v="3"/>
    <x v="1"/>
    <s v="Premium"/>
    <d v="2022-09-16T00:00:00"/>
    <n v="599.96"/>
  </r>
  <r>
    <s v="TRX0075"/>
    <x v="58"/>
    <x v="36"/>
    <x v="36"/>
    <x v="0"/>
    <x v="0"/>
    <s v="Electronics"/>
    <n v="5"/>
    <n v="249.99"/>
    <x v="2"/>
    <x v="4"/>
    <s v="Premium"/>
    <d v="2022-08-09T00:00:00"/>
    <n v="1249.95"/>
  </r>
  <r>
    <s v="TRX0098"/>
    <x v="58"/>
    <x v="8"/>
    <x v="8"/>
    <x v="0"/>
    <x v="0"/>
    <s v="Electronics"/>
    <n v="3"/>
    <n v="249.99"/>
    <x v="2"/>
    <x v="2"/>
    <s v="Premium"/>
    <d v="2021-09-26T00:00:00"/>
    <n v="749.97"/>
  </r>
  <r>
    <s v="TRX0247"/>
    <x v="58"/>
    <x v="3"/>
    <x v="3"/>
    <x v="9"/>
    <x v="9"/>
    <s v="Furniture"/>
    <n v="4"/>
    <n v="199.99"/>
    <x v="0"/>
    <x v="2"/>
    <s v="Standard"/>
    <d v="2021-09-19T00:00:00"/>
    <n v="799.96"/>
  </r>
  <r>
    <s v="TRX0027"/>
    <x v="59"/>
    <x v="32"/>
    <x v="32"/>
    <x v="9"/>
    <x v="9"/>
    <s v="Furniture"/>
    <n v="5"/>
    <n v="199.99"/>
    <x v="0"/>
    <x v="2"/>
    <s v="Premium"/>
    <d v="2023-03-06T00:00:00"/>
    <n v="999.95"/>
  </r>
  <r>
    <s v="TRX0140"/>
    <x v="60"/>
    <x v="14"/>
    <x v="14"/>
    <x v="8"/>
    <x v="8"/>
    <s v="Electronics"/>
    <n v="2"/>
    <n v="89.99"/>
    <x v="0"/>
    <x v="4"/>
    <s v="Premium"/>
    <d v="2023-02-15T00:00:00"/>
    <n v="179.98"/>
  </r>
  <r>
    <s v="TRX0132"/>
    <x v="61"/>
    <x v="38"/>
    <x v="38"/>
    <x v="4"/>
    <x v="4"/>
    <s v="Electronics"/>
    <n v="5"/>
    <n v="899.99"/>
    <x v="3"/>
    <x v="4"/>
    <s v="Basic"/>
    <d v="2021-11-26T00:00:00"/>
    <n v="4499.95"/>
  </r>
  <r>
    <s v="TRX0031"/>
    <x v="61"/>
    <x v="20"/>
    <x v="20"/>
    <x v="3"/>
    <x v="3"/>
    <s v="Electronics"/>
    <n v="3"/>
    <n v="149.99"/>
    <x v="2"/>
    <x v="4"/>
    <s v="Basic"/>
    <d v="2022-01-13T00:00:00"/>
    <n v="449.97"/>
  </r>
  <r>
    <s v="TRX0236"/>
    <x v="62"/>
    <x v="19"/>
    <x v="19"/>
    <x v="2"/>
    <x v="2"/>
    <s v="Furniture"/>
    <n v="5"/>
    <n v="149.99"/>
    <x v="1"/>
    <x v="0"/>
    <s v="Basic"/>
    <d v="2024-01-19T00:00:00"/>
    <n v="749.95"/>
  </r>
  <r>
    <s v="TRX0001"/>
    <x v="63"/>
    <x v="40"/>
    <x v="40"/>
    <x v="7"/>
    <x v="7"/>
    <s v="Appliances"/>
    <n v="3"/>
    <n v="79.989999999999995"/>
    <x v="0"/>
    <x v="0"/>
    <s v="Premium"/>
    <d v="2022-08-06T00:00:00"/>
    <n v="239.96999999999997"/>
  </r>
  <r>
    <s v="TRX0037"/>
    <x v="63"/>
    <x v="28"/>
    <x v="28"/>
    <x v="0"/>
    <x v="0"/>
    <s v="Electronics"/>
    <n v="2"/>
    <n v="249.99"/>
    <x v="0"/>
    <x v="1"/>
    <s v="Standard"/>
    <d v="2022-01-11T00:00:00"/>
    <n v="499.98"/>
  </r>
  <r>
    <s v="TRX0058"/>
    <x v="64"/>
    <x v="38"/>
    <x v="38"/>
    <x v="5"/>
    <x v="5"/>
    <s v="Electronics"/>
    <n v="1"/>
    <n v="699.99"/>
    <x v="0"/>
    <x v="0"/>
    <s v="Premium"/>
    <d v="2021-10-28T00:00:00"/>
    <n v="699.99"/>
  </r>
  <r>
    <s v="TRX0170"/>
    <x v="64"/>
    <x v="41"/>
    <x v="41"/>
    <x v="3"/>
    <x v="3"/>
    <s v="Electronics"/>
    <n v="3"/>
    <n v="149.99"/>
    <x v="0"/>
    <x v="3"/>
    <s v="Premium"/>
    <d v="2023-10-13T00:00:00"/>
    <n v="449.97"/>
  </r>
  <r>
    <s v="TRX0248"/>
    <x v="65"/>
    <x v="42"/>
    <x v="42"/>
    <x v="5"/>
    <x v="5"/>
    <s v="Electronics"/>
    <n v="2"/>
    <n v="699.99"/>
    <x v="1"/>
    <x v="2"/>
    <s v="Premium"/>
    <d v="2021-08-13T00:00:00"/>
    <n v="1399.98"/>
  </r>
  <r>
    <s v="TRX0099"/>
    <x v="66"/>
    <x v="41"/>
    <x v="41"/>
    <x v="0"/>
    <x v="0"/>
    <s v="Electronics"/>
    <n v="1"/>
    <n v="249.99"/>
    <x v="1"/>
    <x v="3"/>
    <s v="Premium"/>
    <d v="2022-05-04T00:00:00"/>
    <n v="249.99"/>
  </r>
  <r>
    <s v="TRX0074"/>
    <x v="66"/>
    <x v="0"/>
    <x v="0"/>
    <x v="0"/>
    <x v="0"/>
    <s v="Electronics"/>
    <n v="1"/>
    <n v="249.99"/>
    <x v="3"/>
    <x v="2"/>
    <s v="Premium"/>
    <d v="2024-02-10T00:00:00"/>
    <n v="249.99"/>
  </r>
  <r>
    <s v="TRX0225"/>
    <x v="67"/>
    <x v="40"/>
    <x v="40"/>
    <x v="5"/>
    <x v="5"/>
    <s v="Electronics"/>
    <n v="2"/>
    <n v="699.99"/>
    <x v="3"/>
    <x v="0"/>
    <s v="Premium"/>
    <d v="2022-11-05T00:00:00"/>
    <n v="1399.98"/>
  </r>
  <r>
    <s v="TRX0100"/>
    <x v="68"/>
    <x v="26"/>
    <x v="26"/>
    <x v="1"/>
    <x v="1"/>
    <s v="Appliances"/>
    <n v="3"/>
    <n v="59.99"/>
    <x v="1"/>
    <x v="0"/>
    <s v="Premium"/>
    <d v="2022-06-05T00:00:00"/>
    <n v="179.97"/>
  </r>
  <r>
    <s v="TRX0142"/>
    <x v="69"/>
    <x v="25"/>
    <x v="25"/>
    <x v="1"/>
    <x v="1"/>
    <s v="Appliances"/>
    <n v="3"/>
    <n v="59.99"/>
    <x v="2"/>
    <x v="4"/>
    <s v="Standard"/>
    <d v="2022-07-06T00:00:00"/>
    <n v="179.97"/>
  </r>
  <r>
    <s v="TRX0112"/>
    <x v="69"/>
    <x v="27"/>
    <x v="27"/>
    <x v="7"/>
    <x v="7"/>
    <s v="Appliances"/>
    <n v="4"/>
    <n v="79.989999999999995"/>
    <x v="0"/>
    <x v="2"/>
    <s v="Basic"/>
    <d v="2021-11-30T00:00:00"/>
    <n v="319.95999999999998"/>
  </r>
  <r>
    <s v="TRX0161"/>
    <x v="70"/>
    <x v="6"/>
    <x v="6"/>
    <x v="7"/>
    <x v="7"/>
    <s v="Appliances"/>
    <n v="1"/>
    <n v="79.989999999999995"/>
    <x v="0"/>
    <x v="3"/>
    <s v="Basic"/>
    <d v="2022-05-12T00:00:00"/>
    <n v="79.989999999999995"/>
  </r>
  <r>
    <s v="TRX0108"/>
    <x v="71"/>
    <x v="5"/>
    <x v="5"/>
    <x v="6"/>
    <x v="6"/>
    <s v="Furniture"/>
    <n v="3"/>
    <n v="299.99"/>
    <x v="1"/>
    <x v="0"/>
    <s v="Premium"/>
    <d v="2021-10-25T00:00:00"/>
    <n v="899.97"/>
  </r>
  <r>
    <s v="TRX0211"/>
    <x v="72"/>
    <x v="3"/>
    <x v="3"/>
    <x v="8"/>
    <x v="8"/>
    <s v="Electronics"/>
    <n v="2"/>
    <n v="89.99"/>
    <x v="1"/>
    <x v="1"/>
    <s v="Premium"/>
    <d v="2022-03-21T00:00:00"/>
    <n v="179.98"/>
  </r>
  <r>
    <s v="TRX0005"/>
    <x v="73"/>
    <x v="43"/>
    <x v="43"/>
    <x v="3"/>
    <x v="3"/>
    <s v="Electronics"/>
    <n v="4"/>
    <n v="149.99"/>
    <x v="0"/>
    <x v="2"/>
    <s v="Basic"/>
    <d v="2022-12-14T00:00:00"/>
    <n v="599.96"/>
  </r>
  <r>
    <s v="TRX0195"/>
    <x v="74"/>
    <x v="8"/>
    <x v="8"/>
    <x v="0"/>
    <x v="0"/>
    <s v="Electronics"/>
    <n v="2"/>
    <n v="249.99"/>
    <x v="2"/>
    <x v="1"/>
    <s v="Basic"/>
    <d v="2023-03-08T00:00:00"/>
    <n v="499.98"/>
  </r>
  <r>
    <s v="TRX0054"/>
    <x v="74"/>
    <x v="31"/>
    <x v="31"/>
    <x v="9"/>
    <x v="9"/>
    <s v="Furniture"/>
    <n v="4"/>
    <n v="199.99"/>
    <x v="3"/>
    <x v="4"/>
    <s v="Basic"/>
    <d v="2021-09-19T00:00:00"/>
    <n v="799.96"/>
  </r>
  <r>
    <s v="TRX0077"/>
    <x v="75"/>
    <x v="29"/>
    <x v="29"/>
    <x v="8"/>
    <x v="8"/>
    <s v="Electronics"/>
    <n v="5"/>
    <n v="89.99"/>
    <x v="1"/>
    <x v="4"/>
    <s v="Premium"/>
    <d v="2021-09-07T00:00:00"/>
    <n v="449.95"/>
  </r>
  <r>
    <s v="TRX0111"/>
    <x v="75"/>
    <x v="44"/>
    <x v="44"/>
    <x v="3"/>
    <x v="3"/>
    <s v="Electronics"/>
    <n v="1"/>
    <n v="149.99"/>
    <x v="2"/>
    <x v="4"/>
    <s v="Standard"/>
    <d v="2021-10-13T00:00:00"/>
    <n v="149.99"/>
  </r>
  <r>
    <s v="TRX0123"/>
    <x v="75"/>
    <x v="10"/>
    <x v="10"/>
    <x v="5"/>
    <x v="5"/>
    <s v="Electronics"/>
    <n v="4"/>
    <n v="699.99"/>
    <x v="2"/>
    <x v="1"/>
    <s v="Basic"/>
    <d v="2022-02-26T00:00:00"/>
    <n v="2799.96"/>
  </r>
  <r>
    <s v="TRX0177"/>
    <x v="76"/>
    <x v="42"/>
    <x v="42"/>
    <x v="4"/>
    <x v="4"/>
    <s v="Electronics"/>
    <n v="3"/>
    <n v="899.99"/>
    <x v="1"/>
    <x v="2"/>
    <s v="Standard"/>
    <d v="2023-08-19T00:00:00"/>
    <n v="2699.9700000000003"/>
  </r>
  <r>
    <s v="TRX0119"/>
    <x v="77"/>
    <x v="21"/>
    <x v="21"/>
    <x v="2"/>
    <x v="2"/>
    <s v="Furniture"/>
    <n v="3"/>
    <n v="149.99"/>
    <x v="2"/>
    <x v="4"/>
    <s v="Basic"/>
    <d v="2022-11-21T00:00:00"/>
    <n v="449.97"/>
  </r>
  <r>
    <s v="TRX0181"/>
    <x v="78"/>
    <x v="18"/>
    <x v="18"/>
    <x v="6"/>
    <x v="6"/>
    <s v="Furniture"/>
    <n v="2"/>
    <n v="299.99"/>
    <x v="3"/>
    <x v="0"/>
    <s v="Basic"/>
    <d v="2022-01-08T00:00:00"/>
    <n v="599.98"/>
  </r>
  <r>
    <s v="TRX0129"/>
    <x v="79"/>
    <x v="45"/>
    <x v="45"/>
    <x v="9"/>
    <x v="9"/>
    <s v="Furniture"/>
    <n v="1"/>
    <n v="199.99"/>
    <x v="3"/>
    <x v="4"/>
    <s v="Standard"/>
    <d v="2023-01-27T00:00:00"/>
    <n v="199.99"/>
  </r>
  <r>
    <s v="TRX0174"/>
    <x v="80"/>
    <x v="4"/>
    <x v="4"/>
    <x v="6"/>
    <x v="6"/>
    <s v="Furniture"/>
    <n v="4"/>
    <n v="299.99"/>
    <x v="0"/>
    <x v="0"/>
    <s v="Premium"/>
    <d v="2021-09-21T00:00:00"/>
    <n v="1199.96"/>
  </r>
  <r>
    <s v="TRX0146"/>
    <x v="81"/>
    <x v="15"/>
    <x v="15"/>
    <x v="1"/>
    <x v="1"/>
    <s v="Appliances"/>
    <n v="2"/>
    <n v="59.99"/>
    <x v="1"/>
    <x v="0"/>
    <s v="Basic"/>
    <d v="2022-01-18T00:00:00"/>
    <n v="119.98"/>
  </r>
  <r>
    <s v="TRX0203"/>
    <x v="81"/>
    <x v="42"/>
    <x v="42"/>
    <x v="3"/>
    <x v="3"/>
    <s v="Electronics"/>
    <n v="4"/>
    <n v="149.99"/>
    <x v="1"/>
    <x v="2"/>
    <s v="Premium"/>
    <d v="2023-05-30T00:00:00"/>
    <n v="599.96"/>
  </r>
  <r>
    <s v="TRX0055"/>
    <x v="82"/>
    <x v="39"/>
    <x v="39"/>
    <x v="5"/>
    <x v="5"/>
    <s v="Electronics"/>
    <n v="2"/>
    <n v="699.99"/>
    <x v="3"/>
    <x v="4"/>
    <s v="Premium"/>
    <d v="2023-12-14T00:00:00"/>
    <n v="1399.98"/>
  </r>
  <r>
    <s v="TRX0218"/>
    <x v="82"/>
    <x v="41"/>
    <x v="41"/>
    <x v="2"/>
    <x v="2"/>
    <s v="Furniture"/>
    <n v="3"/>
    <n v="149.99"/>
    <x v="1"/>
    <x v="1"/>
    <s v="Standard"/>
    <d v="2023-01-14T00:00:00"/>
    <n v="449.97"/>
  </r>
  <r>
    <s v="TRX0085"/>
    <x v="83"/>
    <x v="29"/>
    <x v="29"/>
    <x v="6"/>
    <x v="6"/>
    <s v="Furniture"/>
    <n v="3"/>
    <n v="299.99"/>
    <x v="1"/>
    <x v="0"/>
    <s v="Standard"/>
    <d v="2023-09-05T00:00:00"/>
    <n v="899.97"/>
  </r>
  <r>
    <s v="TRX0158"/>
    <x v="84"/>
    <x v="13"/>
    <x v="13"/>
    <x v="4"/>
    <x v="4"/>
    <s v="Electronics"/>
    <n v="3"/>
    <n v="899.99"/>
    <x v="2"/>
    <x v="3"/>
    <s v="Basic"/>
    <d v="2023-10-16T00:00:00"/>
    <n v="2699.9700000000003"/>
  </r>
  <r>
    <s v="TRX0173"/>
    <x v="85"/>
    <x v="17"/>
    <x v="17"/>
    <x v="5"/>
    <x v="5"/>
    <s v="Electronics"/>
    <n v="5"/>
    <n v="699.99"/>
    <x v="0"/>
    <x v="4"/>
    <s v="Standard"/>
    <d v="2023-03-23T00:00:00"/>
    <n v="3499.95"/>
  </r>
  <r>
    <s v="TRX0034"/>
    <x v="85"/>
    <x v="34"/>
    <x v="34"/>
    <x v="5"/>
    <x v="5"/>
    <s v="Electronics"/>
    <n v="4"/>
    <n v="699.99"/>
    <x v="1"/>
    <x v="0"/>
    <s v="Basic"/>
    <d v="2024-04-03T00:00:00"/>
    <n v="2799.96"/>
  </r>
  <r>
    <s v="TRX0189"/>
    <x v="85"/>
    <x v="30"/>
    <x v="30"/>
    <x v="4"/>
    <x v="4"/>
    <s v="Electronics"/>
    <n v="1"/>
    <n v="899.99"/>
    <x v="1"/>
    <x v="4"/>
    <s v="Standard"/>
    <d v="2024-03-18T00:00:00"/>
    <n v="899.99"/>
  </r>
  <r>
    <s v="TRX0190"/>
    <x v="86"/>
    <x v="40"/>
    <x v="40"/>
    <x v="3"/>
    <x v="3"/>
    <s v="Electronics"/>
    <n v="2"/>
    <n v="149.99"/>
    <x v="1"/>
    <x v="3"/>
    <s v="Basic"/>
    <d v="2022-12-21T00:00:00"/>
    <n v="299.98"/>
  </r>
  <r>
    <s v="TRX0079"/>
    <x v="87"/>
    <x v="40"/>
    <x v="40"/>
    <x v="8"/>
    <x v="8"/>
    <s v="Electronics"/>
    <n v="3"/>
    <n v="89.99"/>
    <x v="2"/>
    <x v="0"/>
    <s v="Basic"/>
    <d v="2021-12-21T00:00:00"/>
    <n v="269.96999999999997"/>
  </r>
  <r>
    <s v="TRX0095"/>
    <x v="88"/>
    <x v="3"/>
    <x v="3"/>
    <x v="3"/>
    <x v="3"/>
    <s v="Electronics"/>
    <n v="2"/>
    <n v="149.99"/>
    <x v="2"/>
    <x v="0"/>
    <s v="Basic"/>
    <d v="2021-10-04T00:00:00"/>
    <n v="299.98"/>
  </r>
  <r>
    <s v="TRX0009"/>
    <x v="88"/>
    <x v="31"/>
    <x v="31"/>
    <x v="5"/>
    <x v="5"/>
    <s v="Electronics"/>
    <n v="2"/>
    <n v="699.99"/>
    <x v="0"/>
    <x v="0"/>
    <s v="Basic"/>
    <d v="2023-03-07T00:00:00"/>
    <n v="1399.98"/>
  </r>
  <r>
    <s v="TRX0167"/>
    <x v="89"/>
    <x v="32"/>
    <x v="32"/>
    <x v="5"/>
    <x v="5"/>
    <s v="Electronics"/>
    <n v="5"/>
    <n v="699.99"/>
    <x v="0"/>
    <x v="2"/>
    <s v="Premium"/>
    <d v="2022-03-15T00:00:00"/>
    <n v="3499.95"/>
  </r>
  <r>
    <s v="TRX0153"/>
    <x v="90"/>
    <x v="34"/>
    <x v="34"/>
    <x v="8"/>
    <x v="8"/>
    <s v="Electronics"/>
    <n v="3"/>
    <n v="89.99"/>
    <x v="1"/>
    <x v="2"/>
    <s v="Standard"/>
    <d v="2022-02-23T00:00:00"/>
    <n v="269.96999999999997"/>
  </r>
  <r>
    <s v="TRX0057"/>
    <x v="91"/>
    <x v="0"/>
    <x v="0"/>
    <x v="0"/>
    <x v="0"/>
    <s v="Electronics"/>
    <n v="5"/>
    <n v="249.99"/>
    <x v="1"/>
    <x v="1"/>
    <s v="Standard"/>
    <d v="2022-11-16T00:00:00"/>
    <n v="1249.95"/>
  </r>
  <r>
    <s v="TRX0017"/>
    <x v="92"/>
    <x v="8"/>
    <x v="8"/>
    <x v="6"/>
    <x v="6"/>
    <s v="Furniture"/>
    <n v="3"/>
    <n v="299.99"/>
    <x v="1"/>
    <x v="1"/>
    <s v="Standard"/>
    <d v="2021-11-02T00:00:00"/>
    <n v="899.97"/>
  </r>
  <r>
    <s v="TRX0060"/>
    <x v="93"/>
    <x v="18"/>
    <x v="18"/>
    <x v="8"/>
    <x v="8"/>
    <s v="Electronics"/>
    <n v="3"/>
    <n v="89.99"/>
    <x v="1"/>
    <x v="2"/>
    <s v="Premium"/>
    <d v="2021-08-12T00:00:00"/>
    <n v="269.96999999999997"/>
  </r>
  <r>
    <s v="TRX0109"/>
    <x v="94"/>
    <x v="15"/>
    <x v="15"/>
    <x v="2"/>
    <x v="2"/>
    <s v="Furniture"/>
    <n v="2"/>
    <n v="149.99"/>
    <x v="1"/>
    <x v="3"/>
    <s v="Premium"/>
    <d v="2022-10-14T00:00:00"/>
    <n v="299.98"/>
  </r>
  <r>
    <s v="TRX0090"/>
    <x v="95"/>
    <x v="36"/>
    <x v="36"/>
    <x v="0"/>
    <x v="0"/>
    <s v="Electronics"/>
    <n v="1"/>
    <n v="249.99"/>
    <x v="1"/>
    <x v="2"/>
    <s v="Premium"/>
    <d v="2022-09-24T00:00:00"/>
    <n v="249.99"/>
  </r>
  <r>
    <s v="TRX0035"/>
    <x v="96"/>
    <x v="10"/>
    <x v="10"/>
    <x v="3"/>
    <x v="3"/>
    <s v="Electronics"/>
    <n v="3"/>
    <n v="149.99"/>
    <x v="0"/>
    <x v="2"/>
    <s v="Basic"/>
    <d v="2022-07-27T00:00:00"/>
    <n v="449.97"/>
  </r>
  <r>
    <s v="TRX0172"/>
    <x v="96"/>
    <x v="0"/>
    <x v="0"/>
    <x v="1"/>
    <x v="1"/>
    <s v="Appliances"/>
    <n v="5"/>
    <n v="59.99"/>
    <x v="2"/>
    <x v="3"/>
    <s v="Premium"/>
    <d v="2022-05-13T00:00:00"/>
    <n v="299.95"/>
  </r>
  <r>
    <s v="TRX0076"/>
    <x v="96"/>
    <x v="18"/>
    <x v="18"/>
    <x v="0"/>
    <x v="0"/>
    <s v="Electronics"/>
    <n v="4"/>
    <n v="249.99"/>
    <x v="1"/>
    <x v="3"/>
    <s v="Standard"/>
    <d v="2022-04-08T00:00:00"/>
    <n v="999.96"/>
  </r>
  <r>
    <s v="TRX0210"/>
    <x v="97"/>
    <x v="31"/>
    <x v="31"/>
    <x v="2"/>
    <x v="2"/>
    <s v="Furniture"/>
    <n v="5"/>
    <n v="149.99"/>
    <x v="2"/>
    <x v="0"/>
    <s v="Basic"/>
    <d v="2022-12-06T00:00:00"/>
    <n v="749.95"/>
  </r>
  <r>
    <s v="TRX0149"/>
    <x v="97"/>
    <x v="13"/>
    <x v="13"/>
    <x v="1"/>
    <x v="1"/>
    <s v="Appliances"/>
    <n v="3"/>
    <n v="59.99"/>
    <x v="3"/>
    <x v="1"/>
    <s v="Standard"/>
    <d v="2023-11-30T00:00:00"/>
    <n v="179.97"/>
  </r>
  <r>
    <s v="TRX0073"/>
    <x v="98"/>
    <x v="42"/>
    <x v="42"/>
    <x v="2"/>
    <x v="2"/>
    <s v="Furniture"/>
    <n v="5"/>
    <n v="149.99"/>
    <x v="0"/>
    <x v="2"/>
    <s v="Basic"/>
    <d v="2022-11-04T00:00:00"/>
    <n v="749.95"/>
  </r>
  <r>
    <s v="TRX0033"/>
    <x v="98"/>
    <x v="14"/>
    <x v="14"/>
    <x v="5"/>
    <x v="5"/>
    <s v="Electronics"/>
    <n v="2"/>
    <n v="699.99"/>
    <x v="2"/>
    <x v="3"/>
    <s v="Standard"/>
    <d v="2022-07-28T00:00:00"/>
    <n v="1399.98"/>
  </r>
  <r>
    <s v="TRX0160"/>
    <x v="99"/>
    <x v="23"/>
    <x v="23"/>
    <x v="9"/>
    <x v="9"/>
    <s v="Furniture"/>
    <n v="4"/>
    <n v="199.99"/>
    <x v="3"/>
    <x v="0"/>
    <s v="Premium"/>
    <d v="2021-08-19T00:00:00"/>
    <n v="799.96"/>
  </r>
  <r>
    <s v="TRX0145"/>
    <x v="100"/>
    <x v="37"/>
    <x v="37"/>
    <x v="1"/>
    <x v="1"/>
    <s v="Appliances"/>
    <n v="1"/>
    <n v="59.99"/>
    <x v="3"/>
    <x v="3"/>
    <s v="Standard"/>
    <d v="2021-12-30T00:00:00"/>
    <n v="59.99"/>
  </r>
  <r>
    <s v="TRX0148"/>
    <x v="100"/>
    <x v="31"/>
    <x v="31"/>
    <x v="5"/>
    <x v="5"/>
    <s v="Electronics"/>
    <n v="3"/>
    <n v="699.99"/>
    <x v="2"/>
    <x v="3"/>
    <s v="Standard"/>
    <d v="2022-01-22T00:00:00"/>
    <n v="2099.9700000000003"/>
  </r>
  <r>
    <s v="TRX0012"/>
    <x v="101"/>
    <x v="46"/>
    <x v="46"/>
    <x v="0"/>
    <x v="0"/>
    <s v="Electronics"/>
    <n v="5"/>
    <n v="249.99"/>
    <x v="1"/>
    <x v="2"/>
    <s v="Basic"/>
    <d v="2022-11-08T00:00:00"/>
    <n v="1249.95"/>
  </r>
  <r>
    <s v="TRX0206"/>
    <x v="102"/>
    <x v="21"/>
    <x v="21"/>
    <x v="2"/>
    <x v="2"/>
    <s v="Furniture"/>
    <n v="2"/>
    <n v="149.99"/>
    <x v="0"/>
    <x v="1"/>
    <s v="Standard"/>
    <d v="2023-06-24T00:00:00"/>
    <n v="299.98"/>
  </r>
  <r>
    <s v="TRX0045"/>
    <x v="103"/>
    <x v="2"/>
    <x v="2"/>
    <x v="6"/>
    <x v="6"/>
    <s v="Furniture"/>
    <n v="3"/>
    <n v="299.99"/>
    <x v="0"/>
    <x v="1"/>
    <s v="Premium"/>
    <d v="2022-04-08T00:00:00"/>
    <n v="899.97"/>
  </r>
  <r>
    <s v="TRX0094"/>
    <x v="103"/>
    <x v="6"/>
    <x v="6"/>
    <x v="0"/>
    <x v="0"/>
    <s v="Electronics"/>
    <n v="5"/>
    <n v="249.99"/>
    <x v="0"/>
    <x v="0"/>
    <s v="Premium"/>
    <d v="2021-10-16T00:00:00"/>
    <n v="1249.95"/>
  </r>
  <r>
    <s v="TRX0133"/>
    <x v="103"/>
    <x v="1"/>
    <x v="1"/>
    <x v="3"/>
    <x v="3"/>
    <s v="Electronics"/>
    <n v="2"/>
    <n v="149.99"/>
    <x v="0"/>
    <x v="1"/>
    <s v="Premium"/>
    <d v="2021-10-06T00:00:00"/>
    <n v="299.98"/>
  </r>
  <r>
    <s v="TRX0201"/>
    <x v="103"/>
    <x v="14"/>
    <x v="14"/>
    <x v="5"/>
    <x v="5"/>
    <s v="Electronics"/>
    <n v="5"/>
    <n v="699.99"/>
    <x v="3"/>
    <x v="3"/>
    <s v="Standard"/>
    <d v="2023-01-18T00:00:00"/>
    <n v="3499.95"/>
  </r>
  <r>
    <s v="TRX0137"/>
    <x v="104"/>
    <x v="44"/>
    <x v="44"/>
    <x v="0"/>
    <x v="0"/>
    <s v="Electronics"/>
    <n v="4"/>
    <n v="249.99"/>
    <x v="2"/>
    <x v="4"/>
    <s v="Premium"/>
    <d v="2023-06-21T00:00:00"/>
    <n v="999.96"/>
  </r>
  <r>
    <s v="TRX0066"/>
    <x v="105"/>
    <x v="5"/>
    <x v="5"/>
    <x v="5"/>
    <x v="5"/>
    <s v="Electronics"/>
    <n v="4"/>
    <n v="699.99"/>
    <x v="1"/>
    <x v="2"/>
    <s v="Premium"/>
    <d v="2022-05-22T00:00:00"/>
    <n v="2799.96"/>
  </r>
  <r>
    <s v="TRX0180"/>
    <x v="106"/>
    <x v="20"/>
    <x v="20"/>
    <x v="0"/>
    <x v="0"/>
    <s v="Electronics"/>
    <n v="2"/>
    <n v="249.99"/>
    <x v="1"/>
    <x v="0"/>
    <s v="Premium"/>
    <d v="2021-07-19T00:00:00"/>
    <n v="499.98"/>
  </r>
  <r>
    <s v="TRX0082"/>
    <x v="106"/>
    <x v="47"/>
    <x v="47"/>
    <x v="1"/>
    <x v="1"/>
    <s v="Appliances"/>
    <n v="3"/>
    <n v="59.99"/>
    <x v="0"/>
    <x v="0"/>
    <s v="Premium"/>
    <d v="2023-05-06T00:00:00"/>
    <n v="179.97"/>
  </r>
  <r>
    <s v="TRX0036"/>
    <x v="106"/>
    <x v="27"/>
    <x v="27"/>
    <x v="7"/>
    <x v="7"/>
    <s v="Appliances"/>
    <n v="4"/>
    <n v="79.989999999999995"/>
    <x v="3"/>
    <x v="4"/>
    <s v="Standard"/>
    <d v="2022-12-26T00:00:00"/>
    <n v="319.95999999999998"/>
  </r>
  <r>
    <s v="TRX0198"/>
    <x v="107"/>
    <x v="22"/>
    <x v="22"/>
    <x v="7"/>
    <x v="7"/>
    <s v="Appliances"/>
    <n v="3"/>
    <n v="79.989999999999995"/>
    <x v="3"/>
    <x v="4"/>
    <s v="Standard"/>
    <d v="2022-08-06T00:00:00"/>
    <n v="239.96999999999997"/>
  </r>
  <r>
    <s v="TRX0032"/>
    <x v="108"/>
    <x v="10"/>
    <x v="10"/>
    <x v="4"/>
    <x v="4"/>
    <s v="Electronics"/>
    <n v="2"/>
    <n v="899.99"/>
    <x v="0"/>
    <x v="2"/>
    <s v="Basic"/>
    <d v="2021-07-29T00:00:00"/>
    <n v="1799.98"/>
  </r>
  <r>
    <s v="TRX0081"/>
    <x v="109"/>
    <x v="35"/>
    <x v="35"/>
    <x v="2"/>
    <x v="2"/>
    <s v="Furniture"/>
    <n v="1"/>
    <n v="149.99"/>
    <x v="3"/>
    <x v="4"/>
    <s v="Standard"/>
    <d v="2023-10-01T00:00:00"/>
    <n v="149.99"/>
  </r>
  <r>
    <s v="TRX0224"/>
    <x v="109"/>
    <x v="26"/>
    <x v="26"/>
    <x v="6"/>
    <x v="6"/>
    <s v="Furniture"/>
    <n v="2"/>
    <n v="299.99"/>
    <x v="0"/>
    <x v="4"/>
    <s v="Premium"/>
    <d v="2022-06-12T00:00:00"/>
    <n v="599.98"/>
  </r>
  <r>
    <s v="TRX0028"/>
    <x v="110"/>
    <x v="25"/>
    <x v="25"/>
    <x v="1"/>
    <x v="1"/>
    <s v="Appliances"/>
    <n v="2"/>
    <n v="59.99"/>
    <x v="0"/>
    <x v="3"/>
    <s v="Basic"/>
    <d v="2023-09-22T00:00:00"/>
    <n v="119.98"/>
  </r>
  <r>
    <s v="TRX0183"/>
    <x v="111"/>
    <x v="35"/>
    <x v="35"/>
    <x v="8"/>
    <x v="8"/>
    <s v="Electronics"/>
    <n v="1"/>
    <n v="89.99"/>
    <x v="3"/>
    <x v="0"/>
    <s v="Standard"/>
    <d v="2022-07-18T00:00:00"/>
    <n v="89.99"/>
  </r>
  <r>
    <s v="TRX0163"/>
    <x v="111"/>
    <x v="29"/>
    <x v="29"/>
    <x v="4"/>
    <x v="4"/>
    <s v="Electronics"/>
    <n v="5"/>
    <n v="899.99"/>
    <x v="3"/>
    <x v="4"/>
    <s v="Standard"/>
    <d v="2022-03-05T00:00:00"/>
    <n v="4499.95"/>
  </r>
  <r>
    <s v="TRX0046"/>
    <x v="112"/>
    <x v="4"/>
    <x v="4"/>
    <x v="2"/>
    <x v="2"/>
    <s v="Furniture"/>
    <n v="2"/>
    <n v="149.99"/>
    <x v="0"/>
    <x v="1"/>
    <s v="Basic"/>
    <d v="2023-11-09T00:00:00"/>
    <n v="299.98"/>
  </r>
  <r>
    <s v="TRX0164"/>
    <x v="113"/>
    <x v="21"/>
    <x v="21"/>
    <x v="3"/>
    <x v="3"/>
    <s v="Electronics"/>
    <n v="2"/>
    <n v="149.99"/>
    <x v="3"/>
    <x v="3"/>
    <s v="Premium"/>
    <d v="2023-12-20T00:00:00"/>
    <n v="299.98"/>
  </r>
  <r>
    <s v="TRX0008"/>
    <x v="113"/>
    <x v="35"/>
    <x v="35"/>
    <x v="2"/>
    <x v="2"/>
    <s v="Furniture"/>
    <n v="3"/>
    <n v="149.99"/>
    <x v="3"/>
    <x v="2"/>
    <s v="Standard"/>
    <d v="2021-11-22T00:00:00"/>
    <n v="449.97"/>
  </r>
  <r>
    <s v="TRX0171"/>
    <x v="114"/>
    <x v="2"/>
    <x v="2"/>
    <x v="6"/>
    <x v="6"/>
    <s v="Furniture"/>
    <n v="2"/>
    <n v="299.99"/>
    <x v="2"/>
    <x v="1"/>
    <s v="Basic"/>
    <d v="2022-06-09T00:00:00"/>
    <n v="599.98"/>
  </r>
  <r>
    <s v="TRX0143"/>
    <x v="115"/>
    <x v="4"/>
    <x v="4"/>
    <x v="6"/>
    <x v="6"/>
    <s v="Furniture"/>
    <n v="2"/>
    <n v="299.99"/>
    <x v="0"/>
    <x v="3"/>
    <s v="Basic"/>
    <d v="2022-07-29T00:00:00"/>
    <n v="599.98"/>
  </r>
  <r>
    <s v="TRX0165"/>
    <x v="115"/>
    <x v="22"/>
    <x v="22"/>
    <x v="9"/>
    <x v="9"/>
    <s v="Furniture"/>
    <n v="4"/>
    <n v="199.99"/>
    <x v="1"/>
    <x v="0"/>
    <s v="Basic"/>
    <d v="2021-11-23T00:00:00"/>
    <n v="799.96"/>
  </r>
  <r>
    <s v="TRX0156"/>
    <x v="116"/>
    <x v="7"/>
    <x v="7"/>
    <x v="8"/>
    <x v="8"/>
    <s v="Electronics"/>
    <n v="1"/>
    <n v="89.99"/>
    <x v="1"/>
    <x v="1"/>
    <s v="Premium"/>
    <d v="2022-01-30T00:00:00"/>
    <n v="89.99"/>
  </r>
  <r>
    <s v="TRX0147"/>
    <x v="116"/>
    <x v="20"/>
    <x v="20"/>
    <x v="2"/>
    <x v="2"/>
    <s v="Furniture"/>
    <n v="5"/>
    <n v="149.99"/>
    <x v="0"/>
    <x v="0"/>
    <s v="Premium"/>
    <d v="2024-02-25T00:00:00"/>
    <n v="749.95"/>
  </r>
  <r>
    <s v="TRX0207"/>
    <x v="117"/>
    <x v="14"/>
    <x v="14"/>
    <x v="4"/>
    <x v="4"/>
    <s v="Electronics"/>
    <n v="1"/>
    <n v="899.99"/>
    <x v="2"/>
    <x v="2"/>
    <s v="Premium"/>
    <d v="2023-05-04T00:00:00"/>
    <n v="899.99"/>
  </r>
  <r>
    <s v="TRX0056"/>
    <x v="118"/>
    <x v="29"/>
    <x v="29"/>
    <x v="8"/>
    <x v="8"/>
    <s v="Electronics"/>
    <n v="2"/>
    <n v="89.99"/>
    <x v="1"/>
    <x v="1"/>
    <s v="Premium"/>
    <d v="2022-01-03T00:00:00"/>
    <n v="179.98"/>
  </r>
  <r>
    <s v="TRX0026"/>
    <x v="119"/>
    <x v="48"/>
    <x v="48"/>
    <x v="4"/>
    <x v="4"/>
    <s v="Electronics"/>
    <n v="1"/>
    <n v="899.99"/>
    <x v="2"/>
    <x v="2"/>
    <s v="Standard"/>
    <d v="2022-07-10T00:00:00"/>
    <n v="899.99"/>
  </r>
  <r>
    <s v="TRX0237"/>
    <x v="120"/>
    <x v="24"/>
    <x v="24"/>
    <x v="3"/>
    <x v="3"/>
    <s v="Electronics"/>
    <n v="5"/>
    <n v="149.99"/>
    <x v="2"/>
    <x v="4"/>
    <s v="Premium"/>
    <d v="2022-09-20T00:00:00"/>
    <n v="749.95"/>
  </r>
  <r>
    <s v="TRX0091"/>
    <x v="120"/>
    <x v="4"/>
    <x v="4"/>
    <x v="6"/>
    <x v="6"/>
    <s v="Furniture"/>
    <n v="3"/>
    <n v="299.99"/>
    <x v="0"/>
    <x v="1"/>
    <s v="Standard"/>
    <d v="2021-08-14T00:00:00"/>
    <n v="899.97"/>
  </r>
  <r>
    <s v="TRX0125"/>
    <x v="121"/>
    <x v="8"/>
    <x v="8"/>
    <x v="5"/>
    <x v="5"/>
    <s v="Electronics"/>
    <n v="3"/>
    <n v="699.99"/>
    <x v="1"/>
    <x v="0"/>
    <s v="Premium"/>
    <d v="2023-06-28T00:00:00"/>
    <n v="2099.9700000000003"/>
  </r>
  <r>
    <s v="TRX0223"/>
    <x v="122"/>
    <x v="20"/>
    <x v="20"/>
    <x v="9"/>
    <x v="9"/>
    <s v="Furniture"/>
    <n v="5"/>
    <n v="199.99"/>
    <x v="2"/>
    <x v="0"/>
    <s v="Standard"/>
    <d v="2022-03-13T00:00:00"/>
    <n v="999.95"/>
  </r>
  <r>
    <s v="TRX0243"/>
    <x v="122"/>
    <x v="16"/>
    <x v="16"/>
    <x v="0"/>
    <x v="0"/>
    <s v="Electronics"/>
    <n v="5"/>
    <n v="249.99"/>
    <x v="1"/>
    <x v="1"/>
    <s v="Basic"/>
    <d v="2024-02-08T00:00:00"/>
    <n v="1249.95"/>
  </r>
  <r>
    <s v="TRX0084"/>
    <x v="123"/>
    <x v="26"/>
    <x v="26"/>
    <x v="3"/>
    <x v="3"/>
    <s v="Electronics"/>
    <n v="4"/>
    <n v="149.99"/>
    <x v="3"/>
    <x v="4"/>
    <s v="Standard"/>
    <d v="2021-12-06T00:00:00"/>
    <n v="599.96"/>
  </r>
  <r>
    <s v="TRX0238"/>
    <x v="123"/>
    <x v="12"/>
    <x v="12"/>
    <x v="5"/>
    <x v="5"/>
    <s v="Electronics"/>
    <n v="3"/>
    <n v="699.99"/>
    <x v="0"/>
    <x v="2"/>
    <s v="Premium"/>
    <d v="2022-02-10T00:00:00"/>
    <n v="2099.9700000000003"/>
  </r>
  <r>
    <s v="TRX0102"/>
    <x v="124"/>
    <x v="46"/>
    <x v="46"/>
    <x v="7"/>
    <x v="7"/>
    <s v="Appliances"/>
    <n v="1"/>
    <n v="79.989999999999995"/>
    <x v="1"/>
    <x v="1"/>
    <s v="Basic"/>
    <d v="2024-01-31T00:00:00"/>
    <n v="79.989999999999995"/>
  </r>
  <r>
    <s v="TRX0022"/>
    <x v="124"/>
    <x v="14"/>
    <x v="14"/>
    <x v="6"/>
    <x v="6"/>
    <s v="Furniture"/>
    <n v="1"/>
    <n v="299.99"/>
    <x v="1"/>
    <x v="2"/>
    <s v="Basic"/>
    <d v="2021-08-28T00:00:00"/>
    <n v="299.99"/>
  </r>
  <r>
    <s v="TRX0087"/>
    <x v="125"/>
    <x v="32"/>
    <x v="32"/>
    <x v="0"/>
    <x v="0"/>
    <s v="Electronics"/>
    <n v="4"/>
    <n v="249.99"/>
    <x v="1"/>
    <x v="2"/>
    <s v="Premium"/>
    <d v="2021-09-21T00:00:00"/>
    <n v="999.96"/>
  </r>
  <r>
    <s v="TRX0107"/>
    <x v="125"/>
    <x v="22"/>
    <x v="22"/>
    <x v="3"/>
    <x v="3"/>
    <s v="Electronics"/>
    <n v="2"/>
    <n v="149.99"/>
    <x v="0"/>
    <x v="2"/>
    <s v="Standard"/>
    <d v="2022-12-18T00:00:00"/>
    <n v="299.98"/>
  </r>
  <r>
    <s v="TRX0051"/>
    <x v="125"/>
    <x v="42"/>
    <x v="42"/>
    <x v="6"/>
    <x v="6"/>
    <s v="Furniture"/>
    <n v="3"/>
    <n v="299.99"/>
    <x v="1"/>
    <x v="1"/>
    <s v="Basic"/>
    <d v="2023-10-05T00:00:00"/>
    <n v="899.97"/>
  </r>
  <r>
    <s v="TRX0106"/>
    <x v="126"/>
    <x v="40"/>
    <x v="40"/>
    <x v="9"/>
    <x v="9"/>
    <s v="Furniture"/>
    <n v="4"/>
    <n v="199.99"/>
    <x v="3"/>
    <x v="1"/>
    <s v="Standard"/>
    <d v="2021-12-14T00:00:00"/>
    <n v="799.96"/>
  </r>
  <r>
    <s v="TRX0059"/>
    <x v="126"/>
    <x v="39"/>
    <x v="39"/>
    <x v="6"/>
    <x v="6"/>
    <s v="Furniture"/>
    <n v="5"/>
    <n v="299.99"/>
    <x v="3"/>
    <x v="0"/>
    <s v="Basic"/>
    <d v="2021-08-23T00:00:00"/>
    <n v="1499.95"/>
  </r>
  <r>
    <s v="TRX0072"/>
    <x v="126"/>
    <x v="7"/>
    <x v="7"/>
    <x v="2"/>
    <x v="2"/>
    <s v="Furniture"/>
    <n v="3"/>
    <n v="149.99"/>
    <x v="1"/>
    <x v="4"/>
    <s v="Standard"/>
    <d v="2021-07-18T00:00:00"/>
    <n v="449.97"/>
  </r>
  <r>
    <s v="TRX0110"/>
    <x v="127"/>
    <x v="24"/>
    <x v="24"/>
    <x v="1"/>
    <x v="1"/>
    <s v="Appliances"/>
    <n v="5"/>
    <n v="59.99"/>
    <x v="3"/>
    <x v="4"/>
    <s v="Basic"/>
    <d v="2022-03-22T00:00:00"/>
    <n v="299.95"/>
  </r>
  <r>
    <s v="TRX0126"/>
    <x v="128"/>
    <x v="9"/>
    <x v="9"/>
    <x v="1"/>
    <x v="1"/>
    <s v="Appliances"/>
    <n v="4"/>
    <n v="59.99"/>
    <x v="3"/>
    <x v="4"/>
    <s v="Standard"/>
    <d v="2022-01-03T00:00:00"/>
    <n v="239.96"/>
  </r>
  <r>
    <s v="TRX0159"/>
    <x v="129"/>
    <x v="5"/>
    <x v="5"/>
    <x v="0"/>
    <x v="0"/>
    <s v="Electronics"/>
    <n v="4"/>
    <n v="249.99"/>
    <x v="3"/>
    <x v="0"/>
    <s v="Premium"/>
    <d v="2023-10-18T00:00:00"/>
    <n v="999.96"/>
  </r>
  <r>
    <s v="TRX0030"/>
    <x v="130"/>
    <x v="44"/>
    <x v="44"/>
    <x v="4"/>
    <x v="4"/>
    <s v="Electronics"/>
    <n v="4"/>
    <n v="899.99"/>
    <x v="2"/>
    <x v="0"/>
    <s v="Basic"/>
    <d v="2022-06-22T00:00:00"/>
    <n v="3599.96"/>
  </r>
  <r>
    <s v="TRX0178"/>
    <x v="130"/>
    <x v="14"/>
    <x v="14"/>
    <x v="6"/>
    <x v="6"/>
    <s v="Furniture"/>
    <n v="3"/>
    <n v="299.99"/>
    <x v="3"/>
    <x v="3"/>
    <s v="Standard"/>
    <d v="2023-01-26T00:00:00"/>
    <n v="899.97"/>
  </r>
  <r>
    <s v="TRX0188"/>
    <x v="130"/>
    <x v="46"/>
    <x v="46"/>
    <x v="5"/>
    <x v="5"/>
    <s v="Electronics"/>
    <n v="2"/>
    <n v="699.99"/>
    <x v="3"/>
    <x v="0"/>
    <s v="Premium"/>
    <d v="2022-04-30T00:00:00"/>
    <n v="1399.98"/>
  </r>
  <r>
    <s v="TRX0010"/>
    <x v="131"/>
    <x v="8"/>
    <x v="8"/>
    <x v="5"/>
    <x v="5"/>
    <s v="Electronics"/>
    <n v="4"/>
    <n v="699.99"/>
    <x v="3"/>
    <x v="3"/>
    <s v="Premium"/>
    <d v="2022-05-11T00:00:00"/>
    <n v="2799.96"/>
  </r>
  <r>
    <s v="TRX0069"/>
    <x v="131"/>
    <x v="23"/>
    <x v="23"/>
    <x v="8"/>
    <x v="8"/>
    <s v="Electronics"/>
    <n v="2"/>
    <n v="89.99"/>
    <x v="3"/>
    <x v="1"/>
    <s v="Basic"/>
    <d v="2022-08-04T00:00:00"/>
    <n v="179.98"/>
  </r>
  <r>
    <s v="TRX0166"/>
    <x v="131"/>
    <x v="4"/>
    <x v="4"/>
    <x v="8"/>
    <x v="8"/>
    <s v="Electronics"/>
    <n v="3"/>
    <n v="89.99"/>
    <x v="3"/>
    <x v="1"/>
    <s v="Premium"/>
    <d v="2024-01-16T00:00:00"/>
    <n v="269.96999999999997"/>
  </r>
  <r>
    <s v="TRX0219"/>
    <x v="132"/>
    <x v="48"/>
    <x v="48"/>
    <x v="1"/>
    <x v="1"/>
    <s v="Appliances"/>
    <n v="1"/>
    <n v="59.99"/>
    <x v="3"/>
    <x v="0"/>
    <s v="Standard"/>
    <d v="2023-04-29T00:00:00"/>
    <n v="59.99"/>
  </r>
  <r>
    <s v="TRX0024"/>
    <x v="133"/>
    <x v="43"/>
    <x v="43"/>
    <x v="2"/>
    <x v="2"/>
    <s v="Furniture"/>
    <n v="3"/>
    <n v="149.99"/>
    <x v="3"/>
    <x v="2"/>
    <s v="Premium"/>
    <d v="2022-01-03T00:00:00"/>
    <n v="449.97"/>
  </r>
  <r>
    <s v="TRX0105"/>
    <x v="133"/>
    <x v="16"/>
    <x v="16"/>
    <x v="6"/>
    <x v="6"/>
    <s v="Furniture"/>
    <n v="5"/>
    <n v="299.99"/>
    <x v="1"/>
    <x v="1"/>
    <s v="Basic"/>
    <d v="2023-02-02T00:00:00"/>
    <n v="1499.95"/>
  </r>
  <r>
    <s v="TRX0011"/>
    <x v="134"/>
    <x v="30"/>
    <x v="30"/>
    <x v="1"/>
    <x v="1"/>
    <s v="Appliances"/>
    <n v="5"/>
    <n v="59.99"/>
    <x v="3"/>
    <x v="0"/>
    <s v="Standard"/>
    <d v="2023-09-08T00:00:00"/>
    <n v="299.95"/>
  </r>
  <r>
    <s v="TRX0187"/>
    <x v="135"/>
    <x v="20"/>
    <x v="20"/>
    <x v="7"/>
    <x v="7"/>
    <s v="Appliances"/>
    <n v="3"/>
    <n v="79.989999999999995"/>
    <x v="0"/>
    <x v="4"/>
    <s v="Premium"/>
    <d v="2021-08-28T00:00:00"/>
    <n v="239.96999999999997"/>
  </r>
  <r>
    <s v="TRX0089"/>
    <x v="136"/>
    <x v="2"/>
    <x v="2"/>
    <x v="9"/>
    <x v="9"/>
    <s v="Furniture"/>
    <n v="3"/>
    <n v="199.99"/>
    <x v="0"/>
    <x v="0"/>
    <s v="Basic"/>
    <d v="2022-06-23T00:00:00"/>
    <n v="599.97"/>
  </r>
  <r>
    <s v="TRX0196"/>
    <x v="136"/>
    <x v="0"/>
    <x v="0"/>
    <x v="8"/>
    <x v="8"/>
    <s v="Electronics"/>
    <n v="2"/>
    <n v="89.99"/>
    <x v="2"/>
    <x v="0"/>
    <s v="Basic"/>
    <d v="2023-11-27T00:00:00"/>
    <n v="179.98"/>
  </r>
  <r>
    <s v="TRX0118"/>
    <x v="137"/>
    <x v="45"/>
    <x v="45"/>
    <x v="2"/>
    <x v="2"/>
    <s v="Furniture"/>
    <n v="2"/>
    <n v="149.99"/>
    <x v="0"/>
    <x v="1"/>
    <s v="Premium"/>
    <d v="2022-06-16T00:00:00"/>
    <n v="299.98"/>
  </r>
  <r>
    <s v="TRX0179"/>
    <x v="138"/>
    <x v="23"/>
    <x v="23"/>
    <x v="5"/>
    <x v="5"/>
    <s v="Electronics"/>
    <n v="5"/>
    <n v="699.99"/>
    <x v="2"/>
    <x v="1"/>
    <s v="Premium"/>
    <d v="2024-03-01T00:00:00"/>
    <n v="3499.95"/>
  </r>
  <r>
    <s v="TRX0168"/>
    <x v="138"/>
    <x v="4"/>
    <x v="4"/>
    <x v="2"/>
    <x v="2"/>
    <s v="Furniture"/>
    <n v="3"/>
    <n v="149.99"/>
    <x v="2"/>
    <x v="0"/>
    <s v="Standard"/>
    <d v="2022-03-13T00:00:00"/>
    <n v="449.97"/>
  </r>
  <r>
    <s v="TRX0214"/>
    <x v="139"/>
    <x v="17"/>
    <x v="17"/>
    <x v="4"/>
    <x v="4"/>
    <s v="Electronics"/>
    <n v="3"/>
    <n v="899.99"/>
    <x v="0"/>
    <x v="4"/>
    <s v="Standard"/>
    <d v="2022-02-21T00:00:00"/>
    <n v="2699.9700000000003"/>
  </r>
  <r>
    <s v="TRX0221"/>
    <x v="139"/>
    <x v="37"/>
    <x v="37"/>
    <x v="9"/>
    <x v="9"/>
    <s v="Furniture"/>
    <n v="3"/>
    <n v="199.99"/>
    <x v="0"/>
    <x v="3"/>
    <s v="Premium"/>
    <d v="2022-09-19T00:00:00"/>
    <n v="599.97"/>
  </r>
  <r>
    <s v="TRX0083"/>
    <x v="140"/>
    <x v="6"/>
    <x v="6"/>
    <x v="6"/>
    <x v="6"/>
    <s v="Furniture"/>
    <n v="5"/>
    <n v="299.99"/>
    <x v="0"/>
    <x v="3"/>
    <s v="Standard"/>
    <d v="2023-08-04T00:00:00"/>
    <n v="1499.95"/>
  </r>
  <r>
    <s v="TRX0151"/>
    <x v="140"/>
    <x v="30"/>
    <x v="30"/>
    <x v="5"/>
    <x v="5"/>
    <s v="Electronics"/>
    <n v="1"/>
    <n v="699.99"/>
    <x v="2"/>
    <x v="3"/>
    <s v="Basic"/>
    <d v="2023-01-08T00:00:00"/>
    <n v="699.99"/>
  </r>
  <r>
    <s v="TRX0047"/>
    <x v="141"/>
    <x v="43"/>
    <x v="43"/>
    <x v="5"/>
    <x v="5"/>
    <s v="Electronics"/>
    <n v="1"/>
    <n v="699.99"/>
    <x v="0"/>
    <x v="2"/>
    <s v="Premium"/>
    <d v="2022-01-22T00:00:00"/>
    <n v="699.99"/>
  </r>
  <r>
    <s v="TRX0200"/>
    <x v="141"/>
    <x v="48"/>
    <x v="48"/>
    <x v="2"/>
    <x v="2"/>
    <s v="Furniture"/>
    <n v="4"/>
    <n v="149.99"/>
    <x v="2"/>
    <x v="2"/>
    <s v="Premium"/>
    <d v="2021-08-04T00:00:00"/>
    <n v="599.96"/>
  </r>
  <r>
    <s v="TRX0062"/>
    <x v="141"/>
    <x v="39"/>
    <x v="39"/>
    <x v="8"/>
    <x v="8"/>
    <s v="Electronics"/>
    <n v="5"/>
    <n v="89.99"/>
    <x v="2"/>
    <x v="3"/>
    <s v="Premium"/>
    <d v="2023-08-02T00:00:00"/>
    <n v="449.95"/>
  </r>
  <r>
    <s v="TRX0182"/>
    <x v="142"/>
    <x v="26"/>
    <x v="26"/>
    <x v="9"/>
    <x v="9"/>
    <s v="Furniture"/>
    <n v="2"/>
    <n v="199.99"/>
    <x v="0"/>
    <x v="0"/>
    <s v="Premium"/>
    <d v="2022-01-12T00:00:00"/>
    <n v="399.98"/>
  </r>
  <r>
    <s v="TRX0229"/>
    <x v="143"/>
    <x v="45"/>
    <x v="45"/>
    <x v="1"/>
    <x v="1"/>
    <s v="Appliances"/>
    <n v="4"/>
    <n v="59.99"/>
    <x v="0"/>
    <x v="3"/>
    <s v="Standard"/>
    <d v="2023-05-24T00:00:00"/>
    <n v="239.96"/>
  </r>
  <r>
    <s v="TRX0048"/>
    <x v="143"/>
    <x v="16"/>
    <x v="16"/>
    <x v="6"/>
    <x v="6"/>
    <s v="Furniture"/>
    <n v="2"/>
    <n v="299.99"/>
    <x v="2"/>
    <x v="1"/>
    <s v="Basic"/>
    <d v="2022-01-15T00:00:00"/>
    <n v="599.98"/>
  </r>
  <r>
    <s v="TRX0227"/>
    <x v="144"/>
    <x v="6"/>
    <x v="6"/>
    <x v="2"/>
    <x v="2"/>
    <s v="Furniture"/>
    <n v="2"/>
    <n v="149.99"/>
    <x v="0"/>
    <x v="0"/>
    <s v="Basic"/>
    <d v="2023-05-22T00:00:00"/>
    <n v="299.98"/>
  </r>
  <r>
    <s v="TRX0226"/>
    <x v="145"/>
    <x v="40"/>
    <x v="40"/>
    <x v="5"/>
    <x v="5"/>
    <s v="Electronics"/>
    <n v="5"/>
    <n v="699.99"/>
    <x v="3"/>
    <x v="4"/>
    <s v="Premium"/>
    <d v="2023-08-23T00:00:00"/>
    <n v="3499.95"/>
  </r>
  <r>
    <s v="TRX0053"/>
    <x v="146"/>
    <x v="11"/>
    <x v="11"/>
    <x v="1"/>
    <x v="1"/>
    <s v="Appliances"/>
    <n v="5"/>
    <n v="59.99"/>
    <x v="0"/>
    <x v="3"/>
    <s v="Premium"/>
    <d v="2023-12-31T00:00:00"/>
    <n v="299.95"/>
  </r>
  <r>
    <s v="TRX0233"/>
    <x v="147"/>
    <x v="0"/>
    <x v="0"/>
    <x v="8"/>
    <x v="8"/>
    <s v="Electronics"/>
    <n v="2"/>
    <n v="89.99"/>
    <x v="1"/>
    <x v="3"/>
    <s v="Premium"/>
    <d v="2024-01-04T00:00:00"/>
    <n v="179.98"/>
  </r>
  <r>
    <s v="TRX0175"/>
    <x v="147"/>
    <x v="22"/>
    <x v="22"/>
    <x v="0"/>
    <x v="0"/>
    <s v="Electronics"/>
    <n v="5"/>
    <n v="249.99"/>
    <x v="0"/>
    <x v="4"/>
    <s v="Standard"/>
    <d v="2021-12-10T00:00:00"/>
    <n v="1249.95"/>
  </r>
  <r>
    <s v="TRX0186"/>
    <x v="148"/>
    <x v="40"/>
    <x v="40"/>
    <x v="2"/>
    <x v="2"/>
    <s v="Furniture"/>
    <n v="2"/>
    <n v="149.99"/>
    <x v="2"/>
    <x v="0"/>
    <s v="Premium"/>
    <d v="2022-03-12T00:00:00"/>
    <n v="299.98"/>
  </r>
  <r>
    <s v="TRX0016"/>
    <x v="148"/>
    <x v="28"/>
    <x v="28"/>
    <x v="4"/>
    <x v="4"/>
    <s v="Electronics"/>
    <n v="5"/>
    <n v="899.99"/>
    <x v="2"/>
    <x v="4"/>
    <s v="Premium"/>
    <d v="2024-04-07T00:00:00"/>
    <n v="4499.95"/>
  </r>
  <r>
    <s v="TRX0199"/>
    <x v="148"/>
    <x v="6"/>
    <x v="6"/>
    <x v="2"/>
    <x v="2"/>
    <s v="Furniture"/>
    <n v="4"/>
    <n v="149.99"/>
    <x v="0"/>
    <x v="0"/>
    <s v="Standard"/>
    <d v="2023-12-03T00:00:00"/>
    <n v="599.96"/>
  </r>
  <r>
    <s v="TRX0038"/>
    <x v="149"/>
    <x v="28"/>
    <x v="28"/>
    <x v="0"/>
    <x v="0"/>
    <s v="Electronics"/>
    <n v="1"/>
    <n v="249.99"/>
    <x v="0"/>
    <x v="2"/>
    <s v="Standard"/>
    <d v="2023-07-10T00:00:00"/>
    <n v="249.99"/>
  </r>
  <r>
    <s v="TRX0014"/>
    <x v="150"/>
    <x v="37"/>
    <x v="37"/>
    <x v="1"/>
    <x v="1"/>
    <s v="Appliances"/>
    <n v="2"/>
    <n v="59.99"/>
    <x v="1"/>
    <x v="3"/>
    <s v="Basic"/>
    <d v="2023-09-24T00:00:00"/>
    <n v="119.98"/>
  </r>
  <r>
    <s v="TRX0003"/>
    <x v="151"/>
    <x v="25"/>
    <x v="25"/>
    <x v="2"/>
    <x v="2"/>
    <s v="Furniture"/>
    <n v="2"/>
    <n v="149.99"/>
    <x v="0"/>
    <x v="3"/>
    <s v="Premium"/>
    <d v="2023-11-03T00:00:00"/>
    <n v="299.98"/>
  </r>
  <r>
    <s v="TRX0124"/>
    <x v="151"/>
    <x v="30"/>
    <x v="30"/>
    <x v="4"/>
    <x v="4"/>
    <s v="Electronics"/>
    <n v="3"/>
    <n v="899.99"/>
    <x v="3"/>
    <x v="2"/>
    <s v="Premium"/>
    <d v="2022-11-11T00:00:00"/>
    <n v="2699.9700000000003"/>
  </r>
  <r>
    <s v="TRX0013"/>
    <x v="151"/>
    <x v="5"/>
    <x v="5"/>
    <x v="4"/>
    <x v="4"/>
    <s v="Electronics"/>
    <n v="3"/>
    <n v="899.99"/>
    <x v="2"/>
    <x v="2"/>
    <s v="Basic"/>
    <d v="2023-02-18T00:00:00"/>
    <n v="2699.9700000000003"/>
  </r>
  <r>
    <s v="TRX0019"/>
    <x v="152"/>
    <x v="0"/>
    <x v="0"/>
    <x v="6"/>
    <x v="6"/>
    <s v="Furniture"/>
    <n v="3"/>
    <n v="299.99"/>
    <x v="1"/>
    <x v="3"/>
    <s v="Premium"/>
    <d v="2023-11-04T00:00:00"/>
    <n v="899.97"/>
  </r>
  <r>
    <s v="TRX0050"/>
    <x v="153"/>
    <x v="49"/>
    <x v="49"/>
    <x v="2"/>
    <x v="2"/>
    <s v="Furniture"/>
    <n v="4"/>
    <n v="149.99"/>
    <x v="2"/>
    <x v="3"/>
    <s v="Standard"/>
    <d v="2021-12-30T00:00:00"/>
    <n v="599.96"/>
  </r>
  <r>
    <s v="TRX0152"/>
    <x v="154"/>
    <x v="19"/>
    <x v="19"/>
    <x v="7"/>
    <x v="7"/>
    <s v="Appliances"/>
    <n v="4"/>
    <n v="79.989999999999995"/>
    <x v="1"/>
    <x v="0"/>
    <s v="Basic"/>
    <d v="2023-12-28T00:00:00"/>
    <n v="319.95999999999998"/>
  </r>
  <r>
    <s v="TRX0213"/>
    <x v="155"/>
    <x v="36"/>
    <x v="36"/>
    <x v="8"/>
    <x v="8"/>
    <s v="Electronics"/>
    <n v="5"/>
    <n v="89.99"/>
    <x v="2"/>
    <x v="1"/>
    <s v="Basic"/>
    <d v="2022-05-23T00:00:00"/>
    <n v="449.95"/>
  </r>
  <r>
    <s v="TRX0197"/>
    <x v="156"/>
    <x v="16"/>
    <x v="16"/>
    <x v="2"/>
    <x v="2"/>
    <s v="Furniture"/>
    <n v="3"/>
    <n v="149.99"/>
    <x v="2"/>
    <x v="0"/>
    <s v="Standard"/>
    <d v="2023-09-02T00:00:00"/>
    <n v="449.97"/>
  </r>
  <r>
    <s v="TRX0250"/>
    <x v="156"/>
    <x v="8"/>
    <x v="8"/>
    <x v="8"/>
    <x v="8"/>
    <s v="Electronics"/>
    <n v="2"/>
    <n v="89.99"/>
    <x v="3"/>
    <x v="3"/>
    <s v="Premium"/>
    <d v="2021-11-22T00:00:00"/>
    <n v="179.98"/>
  </r>
  <r>
    <s v="TRX0068"/>
    <x v="157"/>
    <x v="19"/>
    <x v="19"/>
    <x v="5"/>
    <x v="5"/>
    <s v="Electronics"/>
    <n v="2"/>
    <n v="699.99"/>
    <x v="2"/>
    <x v="2"/>
    <s v="Standard"/>
    <d v="2022-02-26T00:00:00"/>
    <n v="1399.98"/>
  </r>
  <r>
    <s v="TRX0144"/>
    <x v="158"/>
    <x v="23"/>
    <x v="23"/>
    <x v="4"/>
    <x v="4"/>
    <s v="Electronics"/>
    <n v="3"/>
    <n v="899.99"/>
    <x v="0"/>
    <x v="0"/>
    <s v="Standard"/>
    <d v="2023-01-27T00:00:00"/>
    <n v="2699.9700000000003"/>
  </r>
  <r>
    <s v="TRX0039"/>
    <x v="159"/>
    <x v="16"/>
    <x v="16"/>
    <x v="7"/>
    <x v="7"/>
    <s v="Appliances"/>
    <n v="3"/>
    <n v="79.989999999999995"/>
    <x v="1"/>
    <x v="2"/>
    <s v="Basic"/>
    <d v="2021-11-11T00:00:00"/>
    <n v="239.96999999999997"/>
  </r>
  <r>
    <s v="TRX0116"/>
    <x v="160"/>
    <x v="7"/>
    <x v="7"/>
    <x v="8"/>
    <x v="8"/>
    <s v="Electronics"/>
    <n v="1"/>
    <n v="89.99"/>
    <x v="3"/>
    <x v="4"/>
    <s v="Basic"/>
    <d v="2024-02-24T00:00:00"/>
    <n v="89.99"/>
  </r>
  <r>
    <s v="TRX0120"/>
    <x v="161"/>
    <x v="46"/>
    <x v="46"/>
    <x v="5"/>
    <x v="5"/>
    <s v="Electronics"/>
    <n v="3"/>
    <n v="699.99"/>
    <x v="2"/>
    <x v="2"/>
    <s v="Basic"/>
    <d v="2022-12-14T00:00:00"/>
    <n v="2099.9700000000003"/>
  </r>
  <r>
    <s v="TRX0103"/>
    <x v="161"/>
    <x v="40"/>
    <x v="40"/>
    <x v="8"/>
    <x v="8"/>
    <s v="Electronics"/>
    <n v="2"/>
    <n v="89.99"/>
    <x v="3"/>
    <x v="4"/>
    <s v="Basic"/>
    <d v="2023-06-11T00:00:00"/>
    <n v="179.98"/>
  </r>
  <r>
    <s v="TRX0064"/>
    <x v="161"/>
    <x v="26"/>
    <x v="26"/>
    <x v="8"/>
    <x v="8"/>
    <s v="Electronics"/>
    <n v="3"/>
    <n v="89.99"/>
    <x v="3"/>
    <x v="2"/>
    <s v="Premium"/>
    <d v="2022-11-13T00:00:00"/>
    <n v="269.9699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5:I11"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numFmtId="2" showAll="0"/>
    <pivotField showAll="0"/>
    <pivotField showAll="0"/>
    <pivotField axis="axisRow" showAll="0">
      <items count="6">
        <item x="0"/>
        <item x="4"/>
        <item x="2"/>
        <item x="1"/>
        <item x="3"/>
        <item t="default"/>
      </items>
    </pivotField>
    <pivotField showAll="0"/>
    <pivotField numFmtId="14" showAll="0"/>
    <pivotField dataField="1" numFmtId="2" showAll="0"/>
    <pivotField showAll="0" defaultSubtotal="0"/>
    <pivotField showAll="0" defaultSubtotal="0"/>
    <pivotField showAll="0" defaultSubtotal="0">
      <items count="4">
        <item x="0"/>
        <item x="1"/>
        <item x="2"/>
        <item x="3"/>
      </items>
    </pivotField>
  </pivotFields>
  <rowFields count="1">
    <field x="10"/>
  </rowFields>
  <rowItems count="6">
    <i>
      <x/>
    </i>
    <i>
      <x v="1"/>
    </i>
    <i>
      <x v="2"/>
    </i>
    <i>
      <x v="3"/>
    </i>
    <i>
      <x v="4"/>
    </i>
    <i t="grand">
      <x/>
    </i>
  </rowItems>
  <colItems count="1">
    <i/>
  </colItems>
  <dataFields count="1">
    <dataField name="Sum of Total_Amount" fld="13" baseField="0" baseItem="0" numFmtId="164"/>
  </dataFields>
  <formats count="48">
    <format dxfId="330">
      <pivotArea type="all" dataOnly="0" outline="0" fieldPosition="0"/>
    </format>
    <format dxfId="329">
      <pivotArea outline="0" collapsedLevelsAreSubtotals="1" fieldPosition="0"/>
    </format>
    <format dxfId="328">
      <pivotArea field="10" type="button" dataOnly="0" labelOnly="1" outline="0" axis="axisRow" fieldPosition="0"/>
    </format>
    <format dxfId="327">
      <pivotArea dataOnly="0" labelOnly="1" outline="0" axis="axisValues" fieldPosition="0"/>
    </format>
    <format dxfId="326">
      <pivotArea dataOnly="0" labelOnly="1" fieldPosition="0">
        <references count="1">
          <reference field="10" count="0"/>
        </references>
      </pivotArea>
    </format>
    <format dxfId="325">
      <pivotArea dataOnly="0" labelOnly="1" grandRow="1" outline="0" fieldPosition="0"/>
    </format>
    <format dxfId="324">
      <pivotArea dataOnly="0" labelOnly="1" outline="0" axis="axisValues" fieldPosition="0"/>
    </format>
    <format dxfId="323">
      <pivotArea type="all" dataOnly="0" outline="0" fieldPosition="0"/>
    </format>
    <format dxfId="322">
      <pivotArea outline="0" collapsedLevelsAreSubtotals="1" fieldPosition="0"/>
    </format>
    <format dxfId="321">
      <pivotArea field="10" type="button" dataOnly="0" labelOnly="1" outline="0" axis="axisRow" fieldPosition="0"/>
    </format>
    <format dxfId="320">
      <pivotArea dataOnly="0" labelOnly="1" outline="0" axis="axisValues" fieldPosition="0"/>
    </format>
    <format dxfId="319">
      <pivotArea dataOnly="0" labelOnly="1" fieldPosition="0">
        <references count="1">
          <reference field="10" count="0"/>
        </references>
      </pivotArea>
    </format>
    <format dxfId="318">
      <pivotArea dataOnly="0" labelOnly="1" grandRow="1" outline="0" fieldPosition="0"/>
    </format>
    <format dxfId="317">
      <pivotArea dataOnly="0" labelOnly="1" outline="0" axis="axisValues" fieldPosition="0"/>
    </format>
    <format dxfId="316">
      <pivotArea type="all" dataOnly="0" outline="0" fieldPosition="0"/>
    </format>
    <format dxfId="315">
      <pivotArea outline="0" collapsedLevelsAreSubtotals="1" fieldPosition="0"/>
    </format>
    <format dxfId="314">
      <pivotArea field="10" type="button" dataOnly="0" labelOnly="1" outline="0" axis="axisRow" fieldPosition="0"/>
    </format>
    <format dxfId="313">
      <pivotArea dataOnly="0" labelOnly="1" outline="0" axis="axisValues" fieldPosition="0"/>
    </format>
    <format dxfId="312">
      <pivotArea dataOnly="0" labelOnly="1" fieldPosition="0">
        <references count="1">
          <reference field="10" count="0"/>
        </references>
      </pivotArea>
    </format>
    <format dxfId="311">
      <pivotArea dataOnly="0" labelOnly="1" grandRow="1" outline="0" fieldPosition="0"/>
    </format>
    <format dxfId="310">
      <pivotArea dataOnly="0" labelOnly="1" outline="0" axis="axisValues" fieldPosition="0"/>
    </format>
    <format dxfId="309">
      <pivotArea dataOnly="0" grandRow="1" fieldPosition="0"/>
    </format>
    <format dxfId="308">
      <pivotArea field="10" type="button" dataOnly="0" labelOnly="1" outline="0" axis="axisRow" fieldPosition="0"/>
    </format>
    <format dxfId="307">
      <pivotArea dataOnly="0" labelOnly="1" outline="0" axis="axisValues" fieldPosition="0"/>
    </format>
    <format dxfId="306">
      <pivotArea dataOnly="0" labelOnly="1" outline="0" axis="axisValues" fieldPosition="0"/>
    </format>
    <format dxfId="305">
      <pivotArea dataOnly="0" labelOnly="1" outline="0" axis="axisValues" fieldPosition="0"/>
    </format>
    <format dxfId="304">
      <pivotArea dataOnly="0" labelOnly="1" outline="0" axis="axisValues" fieldPosition="0"/>
    </format>
    <format dxfId="303">
      <pivotArea outline="0" collapsedLevelsAreSubtotals="1" fieldPosition="0"/>
    </format>
    <format dxfId="302">
      <pivotArea dataOnly="0" labelOnly="1" outline="0" axis="axisValues" fieldPosition="0"/>
    </format>
    <format dxfId="301">
      <pivotArea dataOnly="0" labelOnly="1" outline="0" axis="axisValues" fieldPosition="0"/>
    </format>
    <format dxfId="300">
      <pivotArea type="all" dataOnly="0" outline="0" fieldPosition="0"/>
    </format>
    <format dxfId="299">
      <pivotArea outline="0" collapsedLevelsAreSubtotals="1" fieldPosition="0"/>
    </format>
    <format dxfId="298">
      <pivotArea field="10" type="button" dataOnly="0" labelOnly="1" outline="0" axis="axisRow" fieldPosition="0"/>
    </format>
    <format dxfId="297">
      <pivotArea dataOnly="0" labelOnly="1" fieldPosition="0">
        <references count="1">
          <reference field="10" count="0"/>
        </references>
      </pivotArea>
    </format>
    <format dxfId="296">
      <pivotArea dataOnly="0" labelOnly="1" grandRow="1" outline="0" fieldPosition="0"/>
    </format>
    <format dxfId="295">
      <pivotArea dataOnly="0" labelOnly="1" outline="0" axis="axisValues" fieldPosition="0"/>
    </format>
    <format dxfId="294">
      <pivotArea type="all" dataOnly="0" outline="0" fieldPosition="0"/>
    </format>
    <format dxfId="293">
      <pivotArea outline="0" collapsedLevelsAreSubtotals="1" fieldPosition="0"/>
    </format>
    <format dxfId="292">
      <pivotArea field="10" type="button" dataOnly="0" labelOnly="1" outline="0" axis="axisRow" fieldPosition="0"/>
    </format>
    <format dxfId="291">
      <pivotArea dataOnly="0" labelOnly="1" fieldPosition="0">
        <references count="1">
          <reference field="10" count="0"/>
        </references>
      </pivotArea>
    </format>
    <format dxfId="290">
      <pivotArea dataOnly="0" labelOnly="1" grandRow="1" outline="0" fieldPosition="0"/>
    </format>
    <format dxfId="289">
      <pivotArea dataOnly="0" labelOnly="1" outline="0" axis="axisValues" fieldPosition="0"/>
    </format>
    <format dxfId="288">
      <pivotArea type="all" dataOnly="0" outline="0" fieldPosition="0"/>
    </format>
    <format dxfId="287">
      <pivotArea outline="0" collapsedLevelsAreSubtotals="1" fieldPosition="0"/>
    </format>
    <format dxfId="286">
      <pivotArea field="10" type="button" dataOnly="0" labelOnly="1" outline="0" axis="axisRow" fieldPosition="0"/>
    </format>
    <format dxfId="285">
      <pivotArea dataOnly="0" labelOnly="1" fieldPosition="0">
        <references count="1">
          <reference field="10" count="0"/>
        </references>
      </pivotArea>
    </format>
    <format dxfId="284">
      <pivotArea dataOnly="0" labelOnly="1" grandRow="1" outline="0" fieldPosition="0"/>
    </format>
    <format dxfId="283">
      <pivotArea dataOnly="0" labelOnly="1" outline="0" axis="axisValues" fieldPosition="0"/>
    </format>
  </formats>
  <chartFormats count="1">
    <chartFormat chart="9" format="3" series="1">
      <pivotArea type="data" outline="0" fieldPosition="0">
        <references count="1">
          <reference field="4294967294" count="1" selected="0">
            <x v="0"/>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5:F26"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axis="axisRow" showAll="0">
      <items count="11">
        <item x="4"/>
        <item x="5"/>
        <item x="3"/>
        <item x="7"/>
        <item x="1"/>
        <item x="9"/>
        <item x="6"/>
        <item x="2"/>
        <item x="0"/>
        <item x="8"/>
        <item t="default"/>
      </items>
    </pivotField>
    <pivotField axis="axisRow" showAll="0">
      <items count="11">
        <item x="1"/>
        <item x="2"/>
        <item x="7"/>
        <item x="6"/>
        <item x="3"/>
        <item x="8"/>
        <item x="4"/>
        <item x="0"/>
        <item x="9"/>
        <item x="5"/>
        <item t="default"/>
      </items>
    </pivotField>
    <pivotField showAll="0"/>
    <pivotField dataField="1" numFmtId="2" showAll="0"/>
    <pivotField showAll="0"/>
    <pivotField showAll="0"/>
    <pivotField showAll="0"/>
    <pivotField showAll="0"/>
    <pivotField numFmtId="14"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5"/>
    <field x="4"/>
  </rowFields>
  <rowItems count="21">
    <i>
      <x/>
    </i>
    <i r="1">
      <x v="4"/>
    </i>
    <i>
      <x v="1"/>
    </i>
    <i r="1">
      <x v="7"/>
    </i>
    <i>
      <x v="2"/>
    </i>
    <i r="1">
      <x v="3"/>
    </i>
    <i>
      <x v="3"/>
    </i>
    <i r="1">
      <x v="6"/>
    </i>
    <i>
      <x v="4"/>
    </i>
    <i r="1">
      <x v="2"/>
    </i>
    <i>
      <x v="5"/>
    </i>
    <i r="1">
      <x v="9"/>
    </i>
    <i>
      <x v="6"/>
    </i>
    <i r="1">
      <x/>
    </i>
    <i>
      <x v="7"/>
    </i>
    <i r="1">
      <x v="8"/>
    </i>
    <i>
      <x v="8"/>
    </i>
    <i r="1">
      <x v="5"/>
    </i>
    <i>
      <x v="9"/>
    </i>
    <i r="1">
      <x v="1"/>
    </i>
    <i t="grand">
      <x/>
    </i>
  </rowItems>
  <colItems count="1">
    <i/>
  </colItems>
  <dataFields count="1">
    <dataField name="Sum of Quantity" fld="7" baseField="0" baseItem="0" numFmtId="1"/>
  </dataFields>
  <formats count="125">
    <format dxfId="455">
      <pivotArea type="all" dataOnly="0" outline="0" fieldPosition="0"/>
    </format>
    <format dxfId="454">
      <pivotArea outline="0" collapsedLevelsAreSubtotals="1" fieldPosition="0"/>
    </format>
    <format dxfId="453">
      <pivotArea field="5" type="button" dataOnly="0" labelOnly="1" outline="0" axis="axisRow" fieldPosition="0"/>
    </format>
    <format dxfId="452">
      <pivotArea dataOnly="0" labelOnly="1" outline="0" axis="axisValues" fieldPosition="0"/>
    </format>
    <format dxfId="451">
      <pivotArea dataOnly="0" labelOnly="1" fieldPosition="0">
        <references count="1">
          <reference field="5" count="0"/>
        </references>
      </pivotArea>
    </format>
    <format dxfId="450">
      <pivotArea dataOnly="0" labelOnly="1" grandRow="1" outline="0" fieldPosition="0"/>
    </format>
    <format dxfId="449">
      <pivotArea dataOnly="0" labelOnly="1" fieldPosition="0">
        <references count="2">
          <reference field="4" count="1">
            <x v="4"/>
          </reference>
          <reference field="5" count="1" selected="0">
            <x v="0"/>
          </reference>
        </references>
      </pivotArea>
    </format>
    <format dxfId="448">
      <pivotArea dataOnly="0" labelOnly="1" fieldPosition="0">
        <references count="2">
          <reference field="4" count="1">
            <x v="7"/>
          </reference>
          <reference field="5" count="1" selected="0">
            <x v="1"/>
          </reference>
        </references>
      </pivotArea>
    </format>
    <format dxfId="447">
      <pivotArea dataOnly="0" labelOnly="1" fieldPosition="0">
        <references count="2">
          <reference field="4" count="1">
            <x v="3"/>
          </reference>
          <reference field="5" count="1" selected="0">
            <x v="2"/>
          </reference>
        </references>
      </pivotArea>
    </format>
    <format dxfId="446">
      <pivotArea dataOnly="0" labelOnly="1" fieldPosition="0">
        <references count="2">
          <reference field="4" count="1">
            <x v="6"/>
          </reference>
          <reference field="5" count="1" selected="0">
            <x v="3"/>
          </reference>
        </references>
      </pivotArea>
    </format>
    <format dxfId="445">
      <pivotArea dataOnly="0" labelOnly="1" fieldPosition="0">
        <references count="2">
          <reference field="4" count="1">
            <x v="2"/>
          </reference>
          <reference field="5" count="1" selected="0">
            <x v="4"/>
          </reference>
        </references>
      </pivotArea>
    </format>
    <format dxfId="444">
      <pivotArea dataOnly="0" labelOnly="1" fieldPosition="0">
        <references count="2">
          <reference field="4" count="1">
            <x v="9"/>
          </reference>
          <reference field="5" count="1" selected="0">
            <x v="5"/>
          </reference>
        </references>
      </pivotArea>
    </format>
    <format dxfId="443">
      <pivotArea dataOnly="0" labelOnly="1" fieldPosition="0">
        <references count="2">
          <reference field="4" count="1">
            <x v="0"/>
          </reference>
          <reference field="5" count="1" selected="0">
            <x v="6"/>
          </reference>
        </references>
      </pivotArea>
    </format>
    <format dxfId="442">
      <pivotArea dataOnly="0" labelOnly="1" fieldPosition="0">
        <references count="2">
          <reference field="4" count="1">
            <x v="8"/>
          </reference>
          <reference field="5" count="1" selected="0">
            <x v="7"/>
          </reference>
        </references>
      </pivotArea>
    </format>
    <format dxfId="441">
      <pivotArea dataOnly="0" labelOnly="1" fieldPosition="0">
        <references count="2">
          <reference field="4" count="1">
            <x v="5"/>
          </reference>
          <reference field="5" count="1" selected="0">
            <x v="8"/>
          </reference>
        </references>
      </pivotArea>
    </format>
    <format dxfId="440">
      <pivotArea dataOnly="0" labelOnly="1" fieldPosition="0">
        <references count="2">
          <reference field="4" count="1">
            <x v="1"/>
          </reference>
          <reference field="5" count="1" selected="0">
            <x v="9"/>
          </reference>
        </references>
      </pivotArea>
    </format>
    <format dxfId="439">
      <pivotArea dataOnly="0" labelOnly="1" outline="0" axis="axisValues" fieldPosition="0"/>
    </format>
    <format dxfId="438">
      <pivotArea type="all" dataOnly="0" outline="0" fieldPosition="0"/>
    </format>
    <format dxfId="437">
      <pivotArea outline="0" collapsedLevelsAreSubtotals="1" fieldPosition="0"/>
    </format>
    <format dxfId="436">
      <pivotArea field="5" type="button" dataOnly="0" labelOnly="1" outline="0" axis="axisRow" fieldPosition="0"/>
    </format>
    <format dxfId="435">
      <pivotArea dataOnly="0" labelOnly="1" outline="0" axis="axisValues" fieldPosition="0"/>
    </format>
    <format dxfId="434">
      <pivotArea dataOnly="0" labelOnly="1" fieldPosition="0">
        <references count="1">
          <reference field="5" count="0"/>
        </references>
      </pivotArea>
    </format>
    <format dxfId="433">
      <pivotArea dataOnly="0" labelOnly="1" grandRow="1" outline="0" fieldPosition="0"/>
    </format>
    <format dxfId="432">
      <pivotArea dataOnly="0" labelOnly="1" fieldPosition="0">
        <references count="2">
          <reference field="4" count="1">
            <x v="4"/>
          </reference>
          <reference field="5" count="1" selected="0">
            <x v="0"/>
          </reference>
        </references>
      </pivotArea>
    </format>
    <format dxfId="431">
      <pivotArea dataOnly="0" labelOnly="1" fieldPosition="0">
        <references count="2">
          <reference field="4" count="1">
            <x v="7"/>
          </reference>
          <reference field="5" count="1" selected="0">
            <x v="1"/>
          </reference>
        </references>
      </pivotArea>
    </format>
    <format dxfId="430">
      <pivotArea dataOnly="0" labelOnly="1" fieldPosition="0">
        <references count="2">
          <reference field="4" count="1">
            <x v="3"/>
          </reference>
          <reference field="5" count="1" selected="0">
            <x v="2"/>
          </reference>
        </references>
      </pivotArea>
    </format>
    <format dxfId="429">
      <pivotArea dataOnly="0" labelOnly="1" fieldPosition="0">
        <references count="2">
          <reference field="4" count="1">
            <x v="6"/>
          </reference>
          <reference field="5" count="1" selected="0">
            <x v="3"/>
          </reference>
        </references>
      </pivotArea>
    </format>
    <format dxfId="428">
      <pivotArea dataOnly="0" labelOnly="1" fieldPosition="0">
        <references count="2">
          <reference field="4" count="1">
            <x v="2"/>
          </reference>
          <reference field="5" count="1" selected="0">
            <x v="4"/>
          </reference>
        </references>
      </pivotArea>
    </format>
    <format dxfId="427">
      <pivotArea dataOnly="0" labelOnly="1" fieldPosition="0">
        <references count="2">
          <reference field="4" count="1">
            <x v="9"/>
          </reference>
          <reference field="5" count="1" selected="0">
            <x v="5"/>
          </reference>
        </references>
      </pivotArea>
    </format>
    <format dxfId="426">
      <pivotArea dataOnly="0" labelOnly="1" fieldPosition="0">
        <references count="2">
          <reference field="4" count="1">
            <x v="0"/>
          </reference>
          <reference field="5" count="1" selected="0">
            <x v="6"/>
          </reference>
        </references>
      </pivotArea>
    </format>
    <format dxfId="425">
      <pivotArea dataOnly="0" labelOnly="1" fieldPosition="0">
        <references count="2">
          <reference field="4" count="1">
            <x v="8"/>
          </reference>
          <reference field="5" count="1" selected="0">
            <x v="7"/>
          </reference>
        </references>
      </pivotArea>
    </format>
    <format dxfId="424">
      <pivotArea dataOnly="0" labelOnly="1" fieldPosition="0">
        <references count="2">
          <reference field="4" count="1">
            <x v="5"/>
          </reference>
          <reference field="5" count="1" selected="0">
            <x v="8"/>
          </reference>
        </references>
      </pivotArea>
    </format>
    <format dxfId="423">
      <pivotArea dataOnly="0" labelOnly="1" fieldPosition="0">
        <references count="2">
          <reference field="4" count="1">
            <x v="1"/>
          </reference>
          <reference field="5" count="1" selected="0">
            <x v="9"/>
          </reference>
        </references>
      </pivotArea>
    </format>
    <format dxfId="422">
      <pivotArea dataOnly="0" labelOnly="1" outline="0" axis="axisValues" fieldPosition="0"/>
    </format>
    <format dxfId="421">
      <pivotArea type="all" dataOnly="0" outline="0" fieldPosition="0"/>
    </format>
    <format dxfId="420">
      <pivotArea outline="0" collapsedLevelsAreSubtotals="1" fieldPosition="0"/>
    </format>
    <format dxfId="419">
      <pivotArea field="5" type="button" dataOnly="0" labelOnly="1" outline="0" axis="axisRow" fieldPosition="0"/>
    </format>
    <format dxfId="418">
      <pivotArea dataOnly="0" labelOnly="1" outline="0" axis="axisValues" fieldPosition="0"/>
    </format>
    <format dxfId="417">
      <pivotArea dataOnly="0" labelOnly="1" fieldPosition="0">
        <references count="1">
          <reference field="5" count="0"/>
        </references>
      </pivotArea>
    </format>
    <format dxfId="416">
      <pivotArea dataOnly="0" labelOnly="1" grandRow="1" outline="0" fieldPosition="0"/>
    </format>
    <format dxfId="415">
      <pivotArea dataOnly="0" labelOnly="1" fieldPosition="0">
        <references count="2">
          <reference field="4" count="1">
            <x v="4"/>
          </reference>
          <reference field="5" count="1" selected="0">
            <x v="0"/>
          </reference>
        </references>
      </pivotArea>
    </format>
    <format dxfId="414">
      <pivotArea dataOnly="0" labelOnly="1" fieldPosition="0">
        <references count="2">
          <reference field="4" count="1">
            <x v="7"/>
          </reference>
          <reference field="5" count="1" selected="0">
            <x v="1"/>
          </reference>
        </references>
      </pivotArea>
    </format>
    <format dxfId="413">
      <pivotArea dataOnly="0" labelOnly="1" fieldPosition="0">
        <references count="2">
          <reference field="4" count="1">
            <x v="3"/>
          </reference>
          <reference field="5" count="1" selected="0">
            <x v="2"/>
          </reference>
        </references>
      </pivotArea>
    </format>
    <format dxfId="412">
      <pivotArea dataOnly="0" labelOnly="1" fieldPosition="0">
        <references count="2">
          <reference field="4" count="1">
            <x v="6"/>
          </reference>
          <reference field="5" count="1" selected="0">
            <x v="3"/>
          </reference>
        </references>
      </pivotArea>
    </format>
    <format dxfId="411">
      <pivotArea dataOnly="0" labelOnly="1" fieldPosition="0">
        <references count="2">
          <reference field="4" count="1">
            <x v="2"/>
          </reference>
          <reference field="5" count="1" selected="0">
            <x v="4"/>
          </reference>
        </references>
      </pivotArea>
    </format>
    <format dxfId="410">
      <pivotArea dataOnly="0" labelOnly="1" fieldPosition="0">
        <references count="2">
          <reference field="4" count="1">
            <x v="9"/>
          </reference>
          <reference field="5" count="1" selected="0">
            <x v="5"/>
          </reference>
        </references>
      </pivotArea>
    </format>
    <format dxfId="409">
      <pivotArea dataOnly="0" labelOnly="1" fieldPosition="0">
        <references count="2">
          <reference field="4" count="1">
            <x v="0"/>
          </reference>
          <reference field="5" count="1" selected="0">
            <x v="6"/>
          </reference>
        </references>
      </pivotArea>
    </format>
    <format dxfId="408">
      <pivotArea dataOnly="0" labelOnly="1" fieldPosition="0">
        <references count="2">
          <reference field="4" count="1">
            <x v="8"/>
          </reference>
          <reference field="5" count="1" selected="0">
            <x v="7"/>
          </reference>
        </references>
      </pivotArea>
    </format>
    <format dxfId="407">
      <pivotArea dataOnly="0" labelOnly="1" fieldPosition="0">
        <references count="2">
          <reference field="4" count="1">
            <x v="5"/>
          </reference>
          <reference field="5" count="1" selected="0">
            <x v="8"/>
          </reference>
        </references>
      </pivotArea>
    </format>
    <format dxfId="406">
      <pivotArea dataOnly="0" labelOnly="1" fieldPosition="0">
        <references count="2">
          <reference field="4" count="1">
            <x v="1"/>
          </reference>
          <reference field="5" count="1" selected="0">
            <x v="9"/>
          </reference>
        </references>
      </pivotArea>
    </format>
    <format dxfId="405">
      <pivotArea dataOnly="0" labelOnly="1" outline="0" axis="axisValues" fieldPosition="0"/>
    </format>
    <format dxfId="404">
      <pivotArea dataOnly="0" grandRow="1" axis="axisRow" fieldPosition="0"/>
    </format>
    <format dxfId="403">
      <pivotArea grandRow="1" outline="0" collapsedLevelsAreSubtotals="1" fieldPosition="0"/>
    </format>
    <format dxfId="402">
      <pivotArea dataOnly="0" labelOnly="1" grandRow="1" outline="0" fieldPosition="0"/>
    </format>
    <format dxfId="401">
      <pivotArea field="5" type="button" dataOnly="0" labelOnly="1" outline="0" axis="axisRow" fieldPosition="0"/>
    </format>
    <format dxfId="400">
      <pivotArea dataOnly="0" labelOnly="1" outline="0" axis="axisValues" fieldPosition="0"/>
    </format>
    <format dxfId="399">
      <pivotArea dataOnly="0" labelOnly="1" outline="0" axis="axisValues" fieldPosition="0"/>
    </format>
    <format dxfId="398">
      <pivotArea outline="0" collapsedLevelsAreSubtotals="1" fieldPosition="0"/>
    </format>
    <format dxfId="397">
      <pivotArea outline="0" collapsedLevelsAreSubtotals="1" fieldPosition="0"/>
    </format>
    <format dxfId="396">
      <pivotArea outline="0" collapsedLevelsAreSubtotals="1" fieldPosition="0"/>
    </format>
    <format dxfId="395">
      <pivotArea outline="0" collapsedLevelsAreSubtotals="1" fieldPosition="0"/>
    </format>
    <format dxfId="394">
      <pivotArea outline="0" collapsedLevelsAreSubtotals="1" fieldPosition="0"/>
    </format>
    <format dxfId="393">
      <pivotArea outline="0" collapsedLevelsAreSubtotals="1" fieldPosition="0"/>
    </format>
    <format dxfId="392">
      <pivotArea outline="0" collapsedLevelsAreSubtotals="1" fieldPosition="0"/>
    </format>
    <format dxfId="391">
      <pivotArea outline="0" collapsedLevelsAreSubtotals="1" fieldPosition="0"/>
    </format>
    <format dxfId="390">
      <pivotArea outline="0" collapsedLevelsAreSubtotals="1" fieldPosition="0"/>
    </format>
    <format dxfId="389">
      <pivotArea outline="0" collapsedLevelsAreSubtotals="1" fieldPosition="0"/>
    </format>
    <format dxfId="388">
      <pivotArea outline="0" collapsedLevelsAreSubtotals="1" fieldPosition="0"/>
    </format>
    <format dxfId="387">
      <pivotArea outline="0" collapsedLevelsAreSubtotals="1" fieldPosition="0"/>
    </format>
    <format dxfId="386">
      <pivotArea outline="0" collapsedLevelsAreSubtotals="1" fieldPosition="0"/>
    </format>
    <format dxfId="385">
      <pivotArea outline="0" collapsedLevelsAreSubtotals="1" fieldPosition="0"/>
    </format>
    <format dxfId="384">
      <pivotArea outline="0" collapsedLevelsAreSubtotals="1" fieldPosition="0"/>
    </format>
    <format dxfId="383">
      <pivotArea outline="0" collapsedLevelsAreSubtotals="1" fieldPosition="0"/>
    </format>
    <format dxfId="382">
      <pivotArea outline="0" collapsedLevelsAreSubtotals="1" fieldPosition="0"/>
    </format>
    <format dxfId="381">
      <pivotArea outline="0" collapsedLevelsAreSubtotals="1" fieldPosition="0"/>
    </format>
    <format dxfId="380">
      <pivotArea outline="0" collapsedLevelsAreSubtotals="1" fieldPosition="0"/>
    </format>
    <format dxfId="379">
      <pivotArea outline="0" collapsedLevelsAreSubtotals="1" fieldPosition="0"/>
    </format>
    <format dxfId="378">
      <pivotArea type="all" dataOnly="0" outline="0" fieldPosition="0"/>
    </format>
    <format dxfId="377">
      <pivotArea outline="0" collapsedLevelsAreSubtotals="1" fieldPosition="0"/>
    </format>
    <format dxfId="376">
      <pivotArea field="5" type="button" dataOnly="0" labelOnly="1" outline="0" axis="axisRow" fieldPosition="0"/>
    </format>
    <format dxfId="375">
      <pivotArea dataOnly="0" labelOnly="1" fieldPosition="0">
        <references count="1">
          <reference field="5" count="0"/>
        </references>
      </pivotArea>
    </format>
    <format dxfId="374">
      <pivotArea dataOnly="0" labelOnly="1" grandRow="1" outline="0" fieldPosition="0"/>
    </format>
    <format dxfId="373">
      <pivotArea dataOnly="0" labelOnly="1" fieldPosition="0">
        <references count="2">
          <reference field="4" count="1">
            <x v="4"/>
          </reference>
          <reference field="5" count="1" selected="0">
            <x v="0"/>
          </reference>
        </references>
      </pivotArea>
    </format>
    <format dxfId="372">
      <pivotArea dataOnly="0" labelOnly="1" fieldPosition="0">
        <references count="2">
          <reference field="4" count="1">
            <x v="7"/>
          </reference>
          <reference field="5" count="1" selected="0">
            <x v="1"/>
          </reference>
        </references>
      </pivotArea>
    </format>
    <format dxfId="371">
      <pivotArea dataOnly="0" labelOnly="1" fieldPosition="0">
        <references count="2">
          <reference field="4" count="1">
            <x v="3"/>
          </reference>
          <reference field="5" count="1" selected="0">
            <x v="2"/>
          </reference>
        </references>
      </pivotArea>
    </format>
    <format dxfId="370">
      <pivotArea dataOnly="0" labelOnly="1" fieldPosition="0">
        <references count="2">
          <reference field="4" count="1">
            <x v="6"/>
          </reference>
          <reference field="5" count="1" selected="0">
            <x v="3"/>
          </reference>
        </references>
      </pivotArea>
    </format>
    <format dxfId="369">
      <pivotArea dataOnly="0" labelOnly="1" fieldPosition="0">
        <references count="2">
          <reference field="4" count="1">
            <x v="2"/>
          </reference>
          <reference field="5" count="1" selected="0">
            <x v="4"/>
          </reference>
        </references>
      </pivotArea>
    </format>
    <format dxfId="368">
      <pivotArea dataOnly="0" labelOnly="1" fieldPosition="0">
        <references count="2">
          <reference field="4" count="1">
            <x v="9"/>
          </reference>
          <reference field="5" count="1" selected="0">
            <x v="5"/>
          </reference>
        </references>
      </pivotArea>
    </format>
    <format dxfId="367">
      <pivotArea dataOnly="0" labelOnly="1" fieldPosition="0">
        <references count="2">
          <reference field="4" count="1">
            <x v="0"/>
          </reference>
          <reference field="5" count="1" selected="0">
            <x v="6"/>
          </reference>
        </references>
      </pivotArea>
    </format>
    <format dxfId="366">
      <pivotArea dataOnly="0" labelOnly="1" fieldPosition="0">
        <references count="2">
          <reference field="4" count="1">
            <x v="8"/>
          </reference>
          <reference field="5" count="1" selected="0">
            <x v="7"/>
          </reference>
        </references>
      </pivotArea>
    </format>
    <format dxfId="365">
      <pivotArea dataOnly="0" labelOnly="1" fieldPosition="0">
        <references count="2">
          <reference field="4" count="1">
            <x v="5"/>
          </reference>
          <reference field="5" count="1" selected="0">
            <x v="8"/>
          </reference>
        </references>
      </pivotArea>
    </format>
    <format dxfId="364">
      <pivotArea dataOnly="0" labelOnly="1" fieldPosition="0">
        <references count="2">
          <reference field="4" count="1">
            <x v="1"/>
          </reference>
          <reference field="5" count="1" selected="0">
            <x v="9"/>
          </reference>
        </references>
      </pivotArea>
    </format>
    <format dxfId="363">
      <pivotArea dataOnly="0" labelOnly="1" outline="0" axis="axisValues" fieldPosition="0"/>
    </format>
    <format dxfId="362">
      <pivotArea type="all" dataOnly="0" outline="0" fieldPosition="0"/>
    </format>
    <format dxfId="361">
      <pivotArea outline="0" collapsedLevelsAreSubtotals="1" fieldPosition="0"/>
    </format>
    <format dxfId="360">
      <pivotArea field="5" type="button" dataOnly="0" labelOnly="1" outline="0" axis="axisRow" fieldPosition="0"/>
    </format>
    <format dxfId="359">
      <pivotArea dataOnly="0" labelOnly="1" fieldPosition="0">
        <references count="1">
          <reference field="5" count="0"/>
        </references>
      </pivotArea>
    </format>
    <format dxfId="358">
      <pivotArea dataOnly="0" labelOnly="1" grandRow="1" outline="0" fieldPosition="0"/>
    </format>
    <format dxfId="357">
      <pivotArea dataOnly="0" labelOnly="1" fieldPosition="0">
        <references count="2">
          <reference field="4" count="1">
            <x v="4"/>
          </reference>
          <reference field="5" count="1" selected="0">
            <x v="0"/>
          </reference>
        </references>
      </pivotArea>
    </format>
    <format dxfId="356">
      <pivotArea dataOnly="0" labelOnly="1" fieldPosition="0">
        <references count="2">
          <reference field="4" count="1">
            <x v="7"/>
          </reference>
          <reference field="5" count="1" selected="0">
            <x v="1"/>
          </reference>
        </references>
      </pivotArea>
    </format>
    <format dxfId="355">
      <pivotArea dataOnly="0" labelOnly="1" fieldPosition="0">
        <references count="2">
          <reference field="4" count="1">
            <x v="3"/>
          </reference>
          <reference field="5" count="1" selected="0">
            <x v="2"/>
          </reference>
        </references>
      </pivotArea>
    </format>
    <format dxfId="354">
      <pivotArea dataOnly="0" labelOnly="1" fieldPosition="0">
        <references count="2">
          <reference field="4" count="1">
            <x v="6"/>
          </reference>
          <reference field="5" count="1" selected="0">
            <x v="3"/>
          </reference>
        </references>
      </pivotArea>
    </format>
    <format dxfId="353">
      <pivotArea dataOnly="0" labelOnly="1" fieldPosition="0">
        <references count="2">
          <reference field="4" count="1">
            <x v="2"/>
          </reference>
          <reference field="5" count="1" selected="0">
            <x v="4"/>
          </reference>
        </references>
      </pivotArea>
    </format>
    <format dxfId="352">
      <pivotArea dataOnly="0" labelOnly="1" fieldPosition="0">
        <references count="2">
          <reference field="4" count="1">
            <x v="9"/>
          </reference>
          <reference field="5" count="1" selected="0">
            <x v="5"/>
          </reference>
        </references>
      </pivotArea>
    </format>
    <format dxfId="351">
      <pivotArea dataOnly="0" labelOnly="1" fieldPosition="0">
        <references count="2">
          <reference field="4" count="1">
            <x v="0"/>
          </reference>
          <reference field="5" count="1" selected="0">
            <x v="6"/>
          </reference>
        </references>
      </pivotArea>
    </format>
    <format dxfId="350">
      <pivotArea dataOnly="0" labelOnly="1" fieldPosition="0">
        <references count="2">
          <reference field="4" count="1">
            <x v="8"/>
          </reference>
          <reference field="5" count="1" selected="0">
            <x v="7"/>
          </reference>
        </references>
      </pivotArea>
    </format>
    <format dxfId="349">
      <pivotArea dataOnly="0" labelOnly="1" fieldPosition="0">
        <references count="2">
          <reference field="4" count="1">
            <x v="5"/>
          </reference>
          <reference field="5" count="1" selected="0">
            <x v="8"/>
          </reference>
        </references>
      </pivotArea>
    </format>
    <format dxfId="348">
      <pivotArea dataOnly="0" labelOnly="1" fieldPosition="0">
        <references count="2">
          <reference field="4" count="1">
            <x v="1"/>
          </reference>
          <reference field="5" count="1" selected="0">
            <x v="9"/>
          </reference>
        </references>
      </pivotArea>
    </format>
    <format dxfId="347">
      <pivotArea dataOnly="0" labelOnly="1" outline="0" axis="axisValues" fieldPosition="0"/>
    </format>
    <format dxfId="346">
      <pivotArea type="all" dataOnly="0" outline="0" fieldPosition="0"/>
    </format>
    <format dxfId="345">
      <pivotArea outline="0" collapsedLevelsAreSubtotals="1" fieldPosition="0"/>
    </format>
    <format dxfId="344">
      <pivotArea field="5" type="button" dataOnly="0" labelOnly="1" outline="0" axis="axisRow" fieldPosition="0"/>
    </format>
    <format dxfId="343">
      <pivotArea dataOnly="0" labelOnly="1" fieldPosition="0">
        <references count="1">
          <reference field="5" count="0"/>
        </references>
      </pivotArea>
    </format>
    <format dxfId="342">
      <pivotArea dataOnly="0" labelOnly="1" grandRow="1" outline="0" fieldPosition="0"/>
    </format>
    <format dxfId="341">
      <pivotArea dataOnly="0" labelOnly="1" fieldPosition="0">
        <references count="2">
          <reference field="4" count="1">
            <x v="4"/>
          </reference>
          <reference field="5" count="1" selected="0">
            <x v="0"/>
          </reference>
        </references>
      </pivotArea>
    </format>
    <format dxfId="340">
      <pivotArea dataOnly="0" labelOnly="1" fieldPosition="0">
        <references count="2">
          <reference field="4" count="1">
            <x v="7"/>
          </reference>
          <reference field="5" count="1" selected="0">
            <x v="1"/>
          </reference>
        </references>
      </pivotArea>
    </format>
    <format dxfId="339">
      <pivotArea dataOnly="0" labelOnly="1" fieldPosition="0">
        <references count="2">
          <reference field="4" count="1">
            <x v="3"/>
          </reference>
          <reference field="5" count="1" selected="0">
            <x v="2"/>
          </reference>
        </references>
      </pivotArea>
    </format>
    <format dxfId="338">
      <pivotArea dataOnly="0" labelOnly="1" fieldPosition="0">
        <references count="2">
          <reference field="4" count="1">
            <x v="6"/>
          </reference>
          <reference field="5" count="1" selected="0">
            <x v="3"/>
          </reference>
        </references>
      </pivotArea>
    </format>
    <format dxfId="337">
      <pivotArea dataOnly="0" labelOnly="1" fieldPosition="0">
        <references count="2">
          <reference field="4" count="1">
            <x v="2"/>
          </reference>
          <reference field="5" count="1" selected="0">
            <x v="4"/>
          </reference>
        </references>
      </pivotArea>
    </format>
    <format dxfId="336">
      <pivotArea dataOnly="0" labelOnly="1" fieldPosition="0">
        <references count="2">
          <reference field="4" count="1">
            <x v="9"/>
          </reference>
          <reference field="5" count="1" selected="0">
            <x v="5"/>
          </reference>
        </references>
      </pivotArea>
    </format>
    <format dxfId="335">
      <pivotArea dataOnly="0" labelOnly="1" fieldPosition="0">
        <references count="2">
          <reference field="4" count="1">
            <x v="0"/>
          </reference>
          <reference field="5" count="1" selected="0">
            <x v="6"/>
          </reference>
        </references>
      </pivotArea>
    </format>
    <format dxfId="334">
      <pivotArea dataOnly="0" labelOnly="1" fieldPosition="0">
        <references count="2">
          <reference field="4" count="1">
            <x v="8"/>
          </reference>
          <reference field="5" count="1" selected="0">
            <x v="7"/>
          </reference>
        </references>
      </pivotArea>
    </format>
    <format dxfId="333">
      <pivotArea dataOnly="0" labelOnly="1" fieldPosition="0">
        <references count="2">
          <reference field="4" count="1">
            <x v="5"/>
          </reference>
          <reference field="5" count="1" selected="0">
            <x v="8"/>
          </reference>
        </references>
      </pivotArea>
    </format>
    <format dxfId="332">
      <pivotArea dataOnly="0" labelOnly="1" fieldPosition="0">
        <references count="2">
          <reference field="4" count="1">
            <x v="1"/>
          </reference>
          <reference field="5" count="1" selected="0">
            <x v="9"/>
          </reference>
        </references>
      </pivotArea>
    </format>
    <format dxfId="331">
      <pivotArea dataOnly="0" labelOnly="1" outline="0" axis="axisValues" fieldPosition="0"/>
    </format>
  </formats>
  <chartFormats count="2">
    <chartFormat chart="3"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Medium2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5:C10"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numFmtId="2" showAll="0"/>
    <pivotField showAll="0"/>
    <pivotField axis="axisRow" showAll="0">
      <items count="5">
        <item x="0"/>
        <item x="1"/>
        <item x="3"/>
        <item x="2"/>
        <item t="default"/>
      </items>
    </pivotField>
    <pivotField showAll="0"/>
    <pivotField showAll="0"/>
    <pivotField numFmtId="14" showAll="0"/>
    <pivotField dataField="1" numFmtId="2" showAll="0"/>
    <pivotField showAll="0" defaultSubtotal="0"/>
    <pivotField showAll="0" defaultSubtotal="0"/>
    <pivotField showAll="0" defaultSubtotal="0">
      <items count="4">
        <item x="0"/>
        <item x="1"/>
        <item x="2"/>
        <item x="3"/>
      </items>
    </pivotField>
  </pivotFields>
  <rowFields count="1">
    <field x="9"/>
  </rowFields>
  <rowItems count="5">
    <i>
      <x/>
    </i>
    <i>
      <x v="1"/>
    </i>
    <i>
      <x v="2"/>
    </i>
    <i>
      <x v="3"/>
    </i>
    <i t="grand">
      <x/>
    </i>
  </rowItems>
  <colItems count="1">
    <i/>
  </colItems>
  <dataFields count="1">
    <dataField name="Sum of Total_Amount" fld="13" baseField="0" baseItem="0" numFmtId="164"/>
  </dataFields>
  <formats count="46">
    <format dxfId="501">
      <pivotArea type="all" dataOnly="0" outline="0" fieldPosition="0"/>
    </format>
    <format dxfId="500">
      <pivotArea outline="0" collapsedLevelsAreSubtotals="1" fieldPosition="0"/>
    </format>
    <format dxfId="499">
      <pivotArea field="9" type="button" dataOnly="0" labelOnly="1" outline="0" axis="axisRow" fieldPosition="0"/>
    </format>
    <format dxfId="498">
      <pivotArea dataOnly="0" labelOnly="1" outline="0" axis="axisValues" fieldPosition="0"/>
    </format>
    <format dxfId="497">
      <pivotArea dataOnly="0" labelOnly="1" fieldPosition="0">
        <references count="1">
          <reference field="9" count="0"/>
        </references>
      </pivotArea>
    </format>
    <format dxfId="496">
      <pivotArea dataOnly="0" labelOnly="1" grandRow="1" outline="0" fieldPosition="0"/>
    </format>
    <format dxfId="495">
      <pivotArea dataOnly="0" labelOnly="1" outline="0" axis="axisValues" fieldPosition="0"/>
    </format>
    <format dxfId="494">
      <pivotArea type="all" dataOnly="0" outline="0" fieldPosition="0"/>
    </format>
    <format dxfId="493">
      <pivotArea outline="0" collapsedLevelsAreSubtotals="1" fieldPosition="0"/>
    </format>
    <format dxfId="492">
      <pivotArea field="9" type="button" dataOnly="0" labelOnly="1" outline="0" axis="axisRow" fieldPosition="0"/>
    </format>
    <format dxfId="491">
      <pivotArea dataOnly="0" labelOnly="1" outline="0" axis="axisValues" fieldPosition="0"/>
    </format>
    <format dxfId="490">
      <pivotArea dataOnly="0" labelOnly="1" fieldPosition="0">
        <references count="1">
          <reference field="9" count="0"/>
        </references>
      </pivotArea>
    </format>
    <format dxfId="489">
      <pivotArea dataOnly="0" labelOnly="1" grandRow="1" outline="0" fieldPosition="0"/>
    </format>
    <format dxfId="488">
      <pivotArea dataOnly="0" labelOnly="1" outline="0" axis="axisValues" fieldPosition="0"/>
    </format>
    <format dxfId="487">
      <pivotArea type="all" dataOnly="0" outline="0" fieldPosition="0"/>
    </format>
    <format dxfId="486">
      <pivotArea outline="0" collapsedLevelsAreSubtotals="1" fieldPosition="0"/>
    </format>
    <format dxfId="485">
      <pivotArea field="9" type="button" dataOnly="0" labelOnly="1" outline="0" axis="axisRow" fieldPosition="0"/>
    </format>
    <format dxfId="484">
      <pivotArea dataOnly="0" labelOnly="1" outline="0" axis="axisValues" fieldPosition="0"/>
    </format>
    <format dxfId="483">
      <pivotArea dataOnly="0" labelOnly="1" fieldPosition="0">
        <references count="1">
          <reference field="9" count="0"/>
        </references>
      </pivotArea>
    </format>
    <format dxfId="482">
      <pivotArea dataOnly="0" labelOnly="1" grandRow="1" outline="0" fieldPosition="0"/>
    </format>
    <format dxfId="481">
      <pivotArea dataOnly="0" labelOnly="1" outline="0" axis="axisValues" fieldPosition="0"/>
    </format>
    <format dxfId="480">
      <pivotArea field="9" type="button" dataOnly="0" labelOnly="1" outline="0" axis="axisRow" fieldPosition="0"/>
    </format>
    <format dxfId="479">
      <pivotArea dataOnly="0" labelOnly="1" outline="0" axis="axisValues" fieldPosition="0"/>
    </format>
    <format dxfId="478">
      <pivotArea dataOnly="0" labelOnly="1" outline="0" axis="axisValues" fieldPosition="0"/>
    </format>
    <format dxfId="477">
      <pivotArea dataOnly="0" grandRow="1" fieldPosition="0"/>
    </format>
    <format dxfId="476">
      <pivotArea outline="0" collapsedLevelsAreSubtotals="1" fieldPosition="0"/>
    </format>
    <format dxfId="475">
      <pivotArea dataOnly="0" labelOnly="1" outline="0" axis="axisValues" fieldPosition="0"/>
    </format>
    <format dxfId="474">
      <pivotArea dataOnly="0" labelOnly="1" outline="0" axis="axisValues" fieldPosition="0"/>
    </format>
    <format dxfId="473">
      <pivotArea type="all" dataOnly="0" outline="0" fieldPosition="0"/>
    </format>
    <format dxfId="472">
      <pivotArea outline="0" collapsedLevelsAreSubtotals="1" fieldPosition="0"/>
    </format>
    <format dxfId="471">
      <pivotArea field="9" type="button" dataOnly="0" labelOnly="1" outline="0" axis="axisRow" fieldPosition="0"/>
    </format>
    <format dxfId="470">
      <pivotArea dataOnly="0" labelOnly="1" fieldPosition="0">
        <references count="1">
          <reference field="9" count="0"/>
        </references>
      </pivotArea>
    </format>
    <format dxfId="469">
      <pivotArea dataOnly="0" labelOnly="1" grandRow="1" outline="0" fieldPosition="0"/>
    </format>
    <format dxfId="468">
      <pivotArea dataOnly="0" labelOnly="1" outline="0" axis="axisValues" fieldPosition="0"/>
    </format>
    <format dxfId="467">
      <pivotArea type="all" dataOnly="0" outline="0" fieldPosition="0"/>
    </format>
    <format dxfId="466">
      <pivotArea outline="0" collapsedLevelsAreSubtotals="1" fieldPosition="0"/>
    </format>
    <format dxfId="465">
      <pivotArea field="9" type="button" dataOnly="0" labelOnly="1" outline="0" axis="axisRow" fieldPosition="0"/>
    </format>
    <format dxfId="464">
      <pivotArea dataOnly="0" labelOnly="1" fieldPosition="0">
        <references count="1">
          <reference field="9" count="0"/>
        </references>
      </pivotArea>
    </format>
    <format dxfId="463">
      <pivotArea dataOnly="0" labelOnly="1" grandRow="1" outline="0" fieldPosition="0"/>
    </format>
    <format dxfId="462">
      <pivotArea dataOnly="0" labelOnly="1" outline="0" axis="axisValues" fieldPosition="0"/>
    </format>
    <format dxfId="461">
      <pivotArea type="all" dataOnly="0" outline="0" fieldPosition="0"/>
    </format>
    <format dxfId="460">
      <pivotArea outline="0" collapsedLevelsAreSubtotals="1" fieldPosition="0"/>
    </format>
    <format dxfId="459">
      <pivotArea field="9" type="button" dataOnly="0" labelOnly="1" outline="0" axis="axisRow" fieldPosition="0"/>
    </format>
    <format dxfId="458">
      <pivotArea dataOnly="0" labelOnly="1" fieldPosition="0">
        <references count="1">
          <reference field="9" count="0"/>
        </references>
      </pivotArea>
    </format>
    <format dxfId="457">
      <pivotArea dataOnly="0" labelOnly="1" grandRow="1" outline="0" fieldPosition="0"/>
    </format>
    <format dxfId="456">
      <pivotArea dataOnly="0" labelOnly="1" outline="0" axis="axisValues" fieldPosition="0"/>
    </format>
  </formats>
  <chartFormats count="5">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9" count="1" selected="0">
            <x v="0"/>
          </reference>
        </references>
      </pivotArea>
    </chartFormat>
    <chartFormat chart="6" format="18">
      <pivotArea type="data" outline="0" fieldPosition="0">
        <references count="2">
          <reference field="4294967294" count="1" selected="0">
            <x v="0"/>
          </reference>
          <reference field="9" count="1" selected="0">
            <x v="1"/>
          </reference>
        </references>
      </pivotArea>
    </chartFormat>
    <chartFormat chart="6" format="19">
      <pivotArea type="data" outline="0" fieldPosition="0">
        <references count="2">
          <reference field="4294967294" count="1" selected="0">
            <x v="0"/>
          </reference>
          <reference field="9" count="1" selected="0">
            <x v="2"/>
          </reference>
        </references>
      </pivotArea>
    </chartFormat>
    <chartFormat chart="6" format="20">
      <pivotArea type="data" outline="0" fieldPosition="0">
        <references count="2">
          <reference field="4294967294" count="1" selected="0">
            <x v="0"/>
          </reference>
          <reference field="9" count="1" selected="0">
            <x v="3"/>
          </reference>
        </references>
      </pivotArea>
    </chartFormat>
  </chart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3"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K5:L18" firstHeaderRow="1" firstDataRow="1" firstDataCol="1"/>
  <pivotFields count="17">
    <pivotField showAll="0"/>
    <pivotField axis="axisRow"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numFmtId="2" showAll="0"/>
    <pivotField showAll="0"/>
    <pivotField showAll="0"/>
    <pivotField showAll="0"/>
    <pivotField showAll="0"/>
    <pivotField numFmtId="14"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4"/>
    <field x="1"/>
  </rowFields>
  <rowItems count="13">
    <i>
      <x v="1"/>
    </i>
    <i>
      <x v="2"/>
    </i>
    <i>
      <x v="3"/>
    </i>
    <i>
      <x v="4"/>
    </i>
    <i>
      <x v="5"/>
    </i>
    <i>
      <x v="6"/>
    </i>
    <i>
      <x v="7"/>
    </i>
    <i>
      <x v="8"/>
    </i>
    <i>
      <x v="9"/>
    </i>
    <i>
      <x v="10"/>
    </i>
    <i>
      <x v="11"/>
    </i>
    <i>
      <x v="12"/>
    </i>
    <i t="grand">
      <x/>
    </i>
  </rowItems>
  <colItems count="1">
    <i/>
  </colItems>
  <dataFields count="1">
    <dataField name="Sum of Total_Amount" fld="13" baseField="0" baseItem="0" numFmtId="164"/>
  </dataFields>
  <formats count="59">
    <format dxfId="560">
      <pivotArea type="all" dataOnly="0" outline="0" fieldPosition="0"/>
    </format>
    <format dxfId="559">
      <pivotArea outline="0" collapsedLevelsAreSubtotals="1" fieldPosition="0"/>
    </format>
    <format dxfId="558">
      <pivotArea field="14" type="button" dataOnly="0" labelOnly="1" outline="0" axis="axisRow" fieldPosition="0"/>
    </format>
    <format dxfId="557">
      <pivotArea dataOnly="0" labelOnly="1" outline="0" axis="axisValues" fieldPosition="0"/>
    </format>
    <format dxfId="556">
      <pivotArea dataOnly="0" labelOnly="1" fieldPosition="0">
        <references count="1">
          <reference field="14" count="12">
            <x v="1"/>
            <x v="2"/>
            <x v="3"/>
            <x v="4"/>
            <x v="5"/>
            <x v="6"/>
            <x v="7"/>
            <x v="8"/>
            <x v="9"/>
            <x v="10"/>
            <x v="11"/>
            <x v="12"/>
          </reference>
        </references>
      </pivotArea>
    </format>
    <format dxfId="555">
      <pivotArea dataOnly="0" labelOnly="1" grandRow="1" outline="0" fieldPosition="0"/>
    </format>
    <format dxfId="554">
      <pivotArea dataOnly="0" labelOnly="1" outline="0" axis="axisValues" fieldPosition="0"/>
    </format>
    <format dxfId="553">
      <pivotArea type="all" dataOnly="0" outline="0" fieldPosition="0"/>
    </format>
    <format dxfId="552">
      <pivotArea outline="0" collapsedLevelsAreSubtotals="1" fieldPosition="0"/>
    </format>
    <format dxfId="551">
      <pivotArea field="14" type="button" dataOnly="0" labelOnly="1" outline="0" axis="axisRow" fieldPosition="0"/>
    </format>
    <format dxfId="550">
      <pivotArea dataOnly="0" labelOnly="1" outline="0" axis="axisValues" fieldPosition="0"/>
    </format>
    <format dxfId="549">
      <pivotArea dataOnly="0" labelOnly="1" fieldPosition="0">
        <references count="1">
          <reference field="14" count="12">
            <x v="1"/>
            <x v="2"/>
            <x v="3"/>
            <x v="4"/>
            <x v="5"/>
            <x v="6"/>
            <x v="7"/>
            <x v="8"/>
            <x v="9"/>
            <x v="10"/>
            <x v="11"/>
            <x v="12"/>
          </reference>
        </references>
      </pivotArea>
    </format>
    <format dxfId="548">
      <pivotArea dataOnly="0" labelOnly="1" grandRow="1" outline="0" fieldPosition="0"/>
    </format>
    <format dxfId="547">
      <pivotArea dataOnly="0" labelOnly="1" outline="0" axis="axisValues" fieldPosition="0"/>
    </format>
    <format dxfId="546">
      <pivotArea type="all" dataOnly="0" outline="0" fieldPosition="0"/>
    </format>
    <format dxfId="545">
      <pivotArea outline="0" collapsedLevelsAreSubtotals="1" fieldPosition="0"/>
    </format>
    <format dxfId="544">
      <pivotArea field="14" type="button" dataOnly="0" labelOnly="1" outline="0" axis="axisRow" fieldPosition="0"/>
    </format>
    <format dxfId="543">
      <pivotArea dataOnly="0" labelOnly="1" outline="0" axis="axisValues" fieldPosition="0"/>
    </format>
    <format dxfId="542">
      <pivotArea dataOnly="0" labelOnly="1" fieldPosition="0">
        <references count="1">
          <reference field="14" count="12">
            <x v="1"/>
            <x v="2"/>
            <x v="3"/>
            <x v="4"/>
            <x v="5"/>
            <x v="6"/>
            <x v="7"/>
            <x v="8"/>
            <x v="9"/>
            <x v="10"/>
            <x v="11"/>
            <x v="12"/>
          </reference>
        </references>
      </pivotArea>
    </format>
    <format dxfId="541">
      <pivotArea dataOnly="0" labelOnly="1" grandRow="1" outline="0" fieldPosition="0"/>
    </format>
    <format dxfId="540">
      <pivotArea dataOnly="0" labelOnly="1" outline="0" axis="axisValues" fieldPosition="0"/>
    </format>
    <format dxfId="539">
      <pivotArea grandRow="1" outline="0" collapsedLevelsAreSubtotals="1" fieldPosition="0"/>
    </format>
    <format dxfId="538">
      <pivotArea dataOnly="0" labelOnly="1" grandRow="1" outline="0" fieldPosition="0"/>
    </format>
    <format dxfId="537">
      <pivotArea field="14" type="button" dataOnly="0" labelOnly="1" outline="0" axis="axisRow" fieldPosition="0"/>
    </format>
    <format dxfId="536">
      <pivotArea dataOnly="0" labelOnly="1" outline="0" axis="axisValues" fieldPosition="0"/>
    </format>
    <format dxfId="535">
      <pivotArea dataOnly="0" labelOnly="1" outline="0" axis="axisValues" fieldPosition="0"/>
    </format>
    <format dxfId="534">
      <pivotArea outline="0" collapsedLevelsAreSubtotals="1" fieldPosition="0"/>
    </format>
    <format dxfId="533">
      <pivotArea dataOnly="0" labelOnly="1" outline="0" axis="axisValues" fieldPosition="0"/>
    </format>
    <format dxfId="532">
      <pivotArea dataOnly="0" labelOnly="1" outline="0" axis="axisValues" fieldPosition="0"/>
    </format>
    <format dxfId="531">
      <pivotArea type="all" dataOnly="0" outline="0" fieldPosition="0"/>
    </format>
    <format dxfId="530">
      <pivotArea outline="0" collapsedLevelsAreSubtotals="1" fieldPosition="0"/>
    </format>
    <format dxfId="529">
      <pivotArea field="14" type="button" dataOnly="0" labelOnly="1" outline="0" axis="axisRow" fieldPosition="0"/>
    </format>
    <format dxfId="528">
      <pivotArea dataOnly="0" labelOnly="1" fieldPosition="0">
        <references count="1">
          <reference field="14" count="12">
            <x v="1"/>
            <x v="2"/>
            <x v="3"/>
            <x v="4"/>
            <x v="5"/>
            <x v="6"/>
            <x v="7"/>
            <x v="8"/>
            <x v="9"/>
            <x v="10"/>
            <x v="11"/>
            <x v="12"/>
          </reference>
        </references>
      </pivotArea>
    </format>
    <format dxfId="527">
      <pivotArea dataOnly="0" labelOnly="1" grandRow="1" outline="0" fieldPosition="0"/>
    </format>
    <format dxfId="526">
      <pivotArea dataOnly="0" labelOnly="1" outline="0" axis="axisValues" fieldPosition="0"/>
    </format>
    <format dxfId="525">
      <pivotArea type="all" dataOnly="0" outline="0" fieldPosition="0"/>
    </format>
    <format dxfId="524">
      <pivotArea outline="0" collapsedLevelsAreSubtotals="1" fieldPosition="0"/>
    </format>
    <format dxfId="523">
      <pivotArea field="14" type="button" dataOnly="0" labelOnly="1" outline="0" axis="axisRow" fieldPosition="0"/>
    </format>
    <format dxfId="522">
      <pivotArea dataOnly="0" labelOnly="1" fieldPosition="0">
        <references count="1">
          <reference field="14" count="12">
            <x v="1"/>
            <x v="2"/>
            <x v="3"/>
            <x v="4"/>
            <x v="5"/>
            <x v="6"/>
            <x v="7"/>
            <x v="8"/>
            <x v="9"/>
            <x v="10"/>
            <x v="11"/>
            <x v="12"/>
          </reference>
        </references>
      </pivotArea>
    </format>
    <format dxfId="521">
      <pivotArea dataOnly="0" labelOnly="1" grandRow="1" outline="0" fieldPosition="0"/>
    </format>
    <format dxfId="520">
      <pivotArea dataOnly="0" labelOnly="1" outline="0" axis="axisValues" fieldPosition="0"/>
    </format>
    <format dxfId="519">
      <pivotArea type="all" dataOnly="0" outline="0" fieldPosition="0"/>
    </format>
    <format dxfId="518">
      <pivotArea outline="0" collapsedLevelsAreSubtotals="1" fieldPosition="0"/>
    </format>
    <format dxfId="517">
      <pivotArea field="14" type="button" dataOnly="0" labelOnly="1" outline="0" axis="axisRow" fieldPosition="0"/>
    </format>
    <format dxfId="516">
      <pivotArea dataOnly="0" labelOnly="1" fieldPosition="0">
        <references count="1">
          <reference field="14" count="12">
            <x v="1"/>
            <x v="2"/>
            <x v="3"/>
            <x v="4"/>
            <x v="5"/>
            <x v="6"/>
            <x v="7"/>
            <x v="8"/>
            <x v="9"/>
            <x v="10"/>
            <x v="11"/>
            <x v="12"/>
          </reference>
        </references>
      </pivotArea>
    </format>
    <format dxfId="515">
      <pivotArea dataOnly="0" labelOnly="1" grandRow="1" outline="0" fieldPosition="0"/>
    </format>
    <format dxfId="514">
      <pivotArea dataOnly="0" labelOnly="1" outline="0" axis="axisValues" fieldPosition="0"/>
    </format>
    <format dxfId="513">
      <pivotArea type="all" dataOnly="0" outline="0" fieldPosition="0"/>
    </format>
    <format dxfId="512">
      <pivotArea outline="0" collapsedLevelsAreSubtotals="1" fieldPosition="0"/>
    </format>
    <format dxfId="511">
      <pivotArea field="14" type="button" dataOnly="0" labelOnly="1" outline="0" axis="axisRow" fieldPosition="0"/>
    </format>
    <format dxfId="510">
      <pivotArea dataOnly="0" labelOnly="1" fieldPosition="0">
        <references count="1">
          <reference field="14" count="12">
            <x v="1"/>
            <x v="2"/>
            <x v="3"/>
            <x v="4"/>
            <x v="5"/>
            <x v="6"/>
            <x v="7"/>
            <x v="8"/>
            <x v="9"/>
            <x v="10"/>
            <x v="11"/>
            <x v="12"/>
          </reference>
        </references>
      </pivotArea>
    </format>
    <format dxfId="509">
      <pivotArea dataOnly="0" labelOnly="1" grandRow="1" outline="0" fieldPosition="0"/>
    </format>
    <format dxfId="508">
      <pivotArea dataOnly="0" labelOnly="1" outline="0" axis="axisValues" fieldPosition="0"/>
    </format>
    <format dxfId="507">
      <pivotArea type="all" dataOnly="0" outline="0" fieldPosition="0"/>
    </format>
    <format dxfId="506">
      <pivotArea outline="0" collapsedLevelsAreSubtotals="1" fieldPosition="0"/>
    </format>
    <format dxfId="505">
      <pivotArea field="14" type="button" dataOnly="0" labelOnly="1" outline="0" axis="axisRow" fieldPosition="0"/>
    </format>
    <format dxfId="504">
      <pivotArea dataOnly="0" labelOnly="1" fieldPosition="0">
        <references count="1">
          <reference field="14" count="12">
            <x v="1"/>
            <x v="2"/>
            <x v="3"/>
            <x v="4"/>
            <x v="5"/>
            <x v="6"/>
            <x v="7"/>
            <x v="8"/>
            <x v="9"/>
            <x v="10"/>
            <x v="11"/>
            <x v="12"/>
          </reference>
        </references>
      </pivotArea>
    </format>
    <format dxfId="503">
      <pivotArea dataOnly="0" labelOnly="1" grandRow="1" outline="0" fieldPosition="0"/>
    </format>
    <format dxfId="502">
      <pivotArea dataOnly="0" labelOnly="1" outline="0" axis="axisValues" fieldPosition="0"/>
    </format>
  </formats>
  <chartFormats count="1">
    <chartFormat chart="4" format="5" series="1">
      <pivotArea type="data" outline="0" fieldPosition="0">
        <references count="1">
          <reference field="4294967294" count="1" selected="0">
            <x v="0"/>
          </reference>
        </references>
      </pivotArea>
    </chartFormat>
  </chart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8B5B75-71E6-4ADA-8FA1-95BE557F1D3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C30:AD51"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axis="axisRow" showAll="0">
      <items count="11">
        <item x="4"/>
        <item x="5"/>
        <item x="3"/>
        <item x="7"/>
        <item x="1"/>
        <item x="9"/>
        <item x="6"/>
        <item x="2"/>
        <item x="0"/>
        <item x="8"/>
        <item t="default"/>
      </items>
    </pivotField>
    <pivotField axis="axisRow" showAll="0">
      <items count="11">
        <item x="1"/>
        <item x="2"/>
        <item x="7"/>
        <item x="6"/>
        <item x="3"/>
        <item x="8"/>
        <item x="4"/>
        <item x="0"/>
        <item x="9"/>
        <item x="5"/>
        <item t="default"/>
      </items>
    </pivotField>
    <pivotField showAll="0"/>
    <pivotField dataField="1" numFmtId="2" showAll="0"/>
    <pivotField showAll="0"/>
    <pivotField showAll="0"/>
    <pivotField showAll="0"/>
    <pivotField showAll="0"/>
    <pivotField numFmtId="14"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5"/>
    <field x="4"/>
  </rowFields>
  <rowItems count="21">
    <i>
      <x/>
    </i>
    <i r="1">
      <x v="4"/>
    </i>
    <i>
      <x v="1"/>
    </i>
    <i r="1">
      <x v="7"/>
    </i>
    <i>
      <x v="2"/>
    </i>
    <i r="1">
      <x v="3"/>
    </i>
    <i>
      <x v="3"/>
    </i>
    <i r="1">
      <x v="6"/>
    </i>
    <i>
      <x v="4"/>
    </i>
    <i r="1">
      <x v="2"/>
    </i>
    <i>
      <x v="5"/>
    </i>
    <i r="1">
      <x v="9"/>
    </i>
    <i>
      <x v="6"/>
    </i>
    <i r="1">
      <x/>
    </i>
    <i>
      <x v="7"/>
    </i>
    <i r="1">
      <x v="8"/>
    </i>
    <i>
      <x v="8"/>
    </i>
    <i r="1">
      <x v="5"/>
    </i>
    <i>
      <x v="9"/>
    </i>
    <i r="1">
      <x v="1"/>
    </i>
    <i t="grand">
      <x/>
    </i>
  </rowItems>
  <colItems count="1">
    <i/>
  </colItems>
  <dataFields count="1">
    <dataField name="Sum of Quantity" fld="7" baseField="0" baseItem="0" numFmtId="1"/>
  </dataFields>
  <formats count="125">
    <format dxfId="0">
      <pivotArea type="all" dataOnly="0" outline="0" fieldPosition="0"/>
    </format>
    <format dxfId="1">
      <pivotArea outline="0" collapsedLevelsAreSubtotals="1" fieldPosition="0"/>
    </format>
    <format dxfId="2">
      <pivotArea field="5" type="button" dataOnly="0" labelOnly="1" outline="0" axis="axisRow" fieldPosition="0"/>
    </format>
    <format dxfId="3">
      <pivotArea dataOnly="0" labelOnly="1" outline="0" axis="axisValues" fieldPosition="0"/>
    </format>
    <format dxfId="4">
      <pivotArea dataOnly="0" labelOnly="1" fieldPosition="0">
        <references count="1">
          <reference field="5" count="0"/>
        </references>
      </pivotArea>
    </format>
    <format dxfId="5">
      <pivotArea dataOnly="0" labelOnly="1" grandRow="1" outline="0" fieldPosition="0"/>
    </format>
    <format dxfId="6">
      <pivotArea dataOnly="0" labelOnly="1" fieldPosition="0">
        <references count="2">
          <reference field="4" count="1">
            <x v="4"/>
          </reference>
          <reference field="5" count="1" selected="0">
            <x v="0"/>
          </reference>
        </references>
      </pivotArea>
    </format>
    <format dxfId="7">
      <pivotArea dataOnly="0" labelOnly="1" fieldPosition="0">
        <references count="2">
          <reference field="4" count="1">
            <x v="7"/>
          </reference>
          <reference field="5" count="1" selected="0">
            <x v="1"/>
          </reference>
        </references>
      </pivotArea>
    </format>
    <format dxfId="8">
      <pivotArea dataOnly="0" labelOnly="1" fieldPosition="0">
        <references count="2">
          <reference field="4" count="1">
            <x v="3"/>
          </reference>
          <reference field="5" count="1" selected="0">
            <x v="2"/>
          </reference>
        </references>
      </pivotArea>
    </format>
    <format dxfId="9">
      <pivotArea dataOnly="0" labelOnly="1" fieldPosition="0">
        <references count="2">
          <reference field="4" count="1">
            <x v="6"/>
          </reference>
          <reference field="5" count="1" selected="0">
            <x v="3"/>
          </reference>
        </references>
      </pivotArea>
    </format>
    <format dxfId="10">
      <pivotArea dataOnly="0" labelOnly="1" fieldPosition="0">
        <references count="2">
          <reference field="4" count="1">
            <x v="2"/>
          </reference>
          <reference field="5" count="1" selected="0">
            <x v="4"/>
          </reference>
        </references>
      </pivotArea>
    </format>
    <format dxfId="11">
      <pivotArea dataOnly="0" labelOnly="1" fieldPosition="0">
        <references count="2">
          <reference field="4" count="1">
            <x v="9"/>
          </reference>
          <reference field="5" count="1" selected="0">
            <x v="5"/>
          </reference>
        </references>
      </pivotArea>
    </format>
    <format dxfId="12">
      <pivotArea dataOnly="0" labelOnly="1" fieldPosition="0">
        <references count="2">
          <reference field="4" count="1">
            <x v="0"/>
          </reference>
          <reference field="5" count="1" selected="0">
            <x v="6"/>
          </reference>
        </references>
      </pivotArea>
    </format>
    <format dxfId="13">
      <pivotArea dataOnly="0" labelOnly="1" fieldPosition="0">
        <references count="2">
          <reference field="4" count="1">
            <x v="8"/>
          </reference>
          <reference field="5" count="1" selected="0">
            <x v="7"/>
          </reference>
        </references>
      </pivotArea>
    </format>
    <format dxfId="14">
      <pivotArea dataOnly="0" labelOnly="1" fieldPosition="0">
        <references count="2">
          <reference field="4" count="1">
            <x v="5"/>
          </reference>
          <reference field="5" count="1" selected="0">
            <x v="8"/>
          </reference>
        </references>
      </pivotArea>
    </format>
    <format dxfId="15">
      <pivotArea dataOnly="0" labelOnly="1" fieldPosition="0">
        <references count="2">
          <reference field="4" count="1">
            <x v="1"/>
          </reference>
          <reference field="5" count="1" selected="0">
            <x v="9"/>
          </reference>
        </references>
      </pivotArea>
    </format>
    <format dxfId="16">
      <pivotArea dataOnly="0" labelOnly="1" outline="0" axis="axisValues" fieldPosition="0"/>
    </format>
    <format dxfId="17">
      <pivotArea type="all" dataOnly="0" outline="0" fieldPosition="0"/>
    </format>
    <format dxfId="18">
      <pivotArea outline="0" collapsedLevelsAreSubtotals="1" fieldPosition="0"/>
    </format>
    <format dxfId="19">
      <pivotArea field="5" type="button" dataOnly="0" labelOnly="1" outline="0" axis="axisRow" fieldPosition="0"/>
    </format>
    <format dxfId="20">
      <pivotArea dataOnly="0" labelOnly="1" outline="0" axis="axisValues" fieldPosition="0"/>
    </format>
    <format dxfId="21">
      <pivotArea dataOnly="0" labelOnly="1" fieldPosition="0">
        <references count="1">
          <reference field="5" count="0"/>
        </references>
      </pivotArea>
    </format>
    <format dxfId="22">
      <pivotArea dataOnly="0" labelOnly="1" grandRow="1" outline="0" fieldPosition="0"/>
    </format>
    <format dxfId="23">
      <pivotArea dataOnly="0" labelOnly="1" fieldPosition="0">
        <references count="2">
          <reference field="4" count="1">
            <x v="4"/>
          </reference>
          <reference field="5" count="1" selected="0">
            <x v="0"/>
          </reference>
        </references>
      </pivotArea>
    </format>
    <format dxfId="24">
      <pivotArea dataOnly="0" labelOnly="1" fieldPosition="0">
        <references count="2">
          <reference field="4" count="1">
            <x v="7"/>
          </reference>
          <reference field="5" count="1" selected="0">
            <x v="1"/>
          </reference>
        </references>
      </pivotArea>
    </format>
    <format dxfId="25">
      <pivotArea dataOnly="0" labelOnly="1" fieldPosition="0">
        <references count="2">
          <reference field="4" count="1">
            <x v="3"/>
          </reference>
          <reference field="5" count="1" selected="0">
            <x v="2"/>
          </reference>
        </references>
      </pivotArea>
    </format>
    <format dxfId="26">
      <pivotArea dataOnly="0" labelOnly="1" fieldPosition="0">
        <references count="2">
          <reference field="4" count="1">
            <x v="6"/>
          </reference>
          <reference field="5" count="1" selected="0">
            <x v="3"/>
          </reference>
        </references>
      </pivotArea>
    </format>
    <format dxfId="27">
      <pivotArea dataOnly="0" labelOnly="1" fieldPosition="0">
        <references count="2">
          <reference field="4" count="1">
            <x v="2"/>
          </reference>
          <reference field="5" count="1" selected="0">
            <x v="4"/>
          </reference>
        </references>
      </pivotArea>
    </format>
    <format dxfId="28">
      <pivotArea dataOnly="0" labelOnly="1" fieldPosition="0">
        <references count="2">
          <reference field="4" count="1">
            <x v="9"/>
          </reference>
          <reference field="5" count="1" selected="0">
            <x v="5"/>
          </reference>
        </references>
      </pivotArea>
    </format>
    <format dxfId="29">
      <pivotArea dataOnly="0" labelOnly="1" fieldPosition="0">
        <references count="2">
          <reference field="4" count="1">
            <x v="0"/>
          </reference>
          <reference field="5" count="1" selected="0">
            <x v="6"/>
          </reference>
        </references>
      </pivotArea>
    </format>
    <format dxfId="30">
      <pivotArea dataOnly="0" labelOnly="1" fieldPosition="0">
        <references count="2">
          <reference field="4" count="1">
            <x v="8"/>
          </reference>
          <reference field="5" count="1" selected="0">
            <x v="7"/>
          </reference>
        </references>
      </pivotArea>
    </format>
    <format dxfId="31">
      <pivotArea dataOnly="0" labelOnly="1" fieldPosition="0">
        <references count="2">
          <reference field="4" count="1">
            <x v="5"/>
          </reference>
          <reference field="5" count="1" selected="0">
            <x v="8"/>
          </reference>
        </references>
      </pivotArea>
    </format>
    <format dxfId="32">
      <pivotArea dataOnly="0" labelOnly="1" fieldPosition="0">
        <references count="2">
          <reference field="4" count="1">
            <x v="1"/>
          </reference>
          <reference field="5" count="1" selected="0">
            <x v="9"/>
          </reference>
        </references>
      </pivotArea>
    </format>
    <format dxfId="33">
      <pivotArea dataOnly="0" labelOnly="1" outline="0" axis="axisValues" fieldPosition="0"/>
    </format>
    <format dxfId="34">
      <pivotArea type="all" dataOnly="0" outline="0" fieldPosition="0"/>
    </format>
    <format dxfId="35">
      <pivotArea outline="0" collapsedLevelsAreSubtotals="1" fieldPosition="0"/>
    </format>
    <format dxfId="36">
      <pivotArea field="5" type="button" dataOnly="0" labelOnly="1" outline="0" axis="axisRow" fieldPosition="0"/>
    </format>
    <format dxfId="37">
      <pivotArea dataOnly="0" labelOnly="1" outline="0" axis="axisValues" fieldPosition="0"/>
    </format>
    <format dxfId="38">
      <pivotArea dataOnly="0" labelOnly="1" fieldPosition="0">
        <references count="1">
          <reference field="5" count="0"/>
        </references>
      </pivotArea>
    </format>
    <format dxfId="39">
      <pivotArea dataOnly="0" labelOnly="1" grandRow="1" outline="0" fieldPosition="0"/>
    </format>
    <format dxfId="40">
      <pivotArea dataOnly="0" labelOnly="1" fieldPosition="0">
        <references count="2">
          <reference field="4" count="1">
            <x v="4"/>
          </reference>
          <reference field="5" count="1" selected="0">
            <x v="0"/>
          </reference>
        </references>
      </pivotArea>
    </format>
    <format dxfId="41">
      <pivotArea dataOnly="0" labelOnly="1" fieldPosition="0">
        <references count="2">
          <reference field="4" count="1">
            <x v="7"/>
          </reference>
          <reference field="5" count="1" selected="0">
            <x v="1"/>
          </reference>
        </references>
      </pivotArea>
    </format>
    <format dxfId="42">
      <pivotArea dataOnly="0" labelOnly="1" fieldPosition="0">
        <references count="2">
          <reference field="4" count="1">
            <x v="3"/>
          </reference>
          <reference field="5" count="1" selected="0">
            <x v="2"/>
          </reference>
        </references>
      </pivotArea>
    </format>
    <format dxfId="43">
      <pivotArea dataOnly="0" labelOnly="1" fieldPosition="0">
        <references count="2">
          <reference field="4" count="1">
            <x v="6"/>
          </reference>
          <reference field="5" count="1" selected="0">
            <x v="3"/>
          </reference>
        </references>
      </pivotArea>
    </format>
    <format dxfId="44">
      <pivotArea dataOnly="0" labelOnly="1" fieldPosition="0">
        <references count="2">
          <reference field="4" count="1">
            <x v="2"/>
          </reference>
          <reference field="5" count="1" selected="0">
            <x v="4"/>
          </reference>
        </references>
      </pivotArea>
    </format>
    <format dxfId="45">
      <pivotArea dataOnly="0" labelOnly="1" fieldPosition="0">
        <references count="2">
          <reference field="4" count="1">
            <x v="9"/>
          </reference>
          <reference field="5" count="1" selected="0">
            <x v="5"/>
          </reference>
        </references>
      </pivotArea>
    </format>
    <format dxfId="46">
      <pivotArea dataOnly="0" labelOnly="1" fieldPosition="0">
        <references count="2">
          <reference field="4" count="1">
            <x v="0"/>
          </reference>
          <reference field="5" count="1" selected="0">
            <x v="6"/>
          </reference>
        </references>
      </pivotArea>
    </format>
    <format dxfId="47">
      <pivotArea dataOnly="0" labelOnly="1" fieldPosition="0">
        <references count="2">
          <reference field="4" count="1">
            <x v="8"/>
          </reference>
          <reference field="5" count="1" selected="0">
            <x v="7"/>
          </reference>
        </references>
      </pivotArea>
    </format>
    <format dxfId="48">
      <pivotArea dataOnly="0" labelOnly="1" fieldPosition="0">
        <references count="2">
          <reference field="4" count="1">
            <x v="5"/>
          </reference>
          <reference field="5" count="1" selected="0">
            <x v="8"/>
          </reference>
        </references>
      </pivotArea>
    </format>
    <format dxfId="49">
      <pivotArea dataOnly="0" labelOnly="1" fieldPosition="0">
        <references count="2">
          <reference field="4" count="1">
            <x v="1"/>
          </reference>
          <reference field="5" count="1" selected="0">
            <x v="9"/>
          </reference>
        </references>
      </pivotArea>
    </format>
    <format dxfId="50">
      <pivotArea dataOnly="0" labelOnly="1" outline="0" axis="axisValues" fieldPosition="0"/>
    </format>
    <format dxfId="51">
      <pivotArea dataOnly="0" grandRow="1" axis="axisRow" fieldPosition="0"/>
    </format>
    <format dxfId="52">
      <pivotArea grandRow="1" outline="0" collapsedLevelsAreSubtotals="1" fieldPosition="0"/>
    </format>
    <format dxfId="53">
      <pivotArea dataOnly="0" labelOnly="1" grandRow="1" outline="0" fieldPosition="0"/>
    </format>
    <format dxfId="54">
      <pivotArea field="5" type="button" dataOnly="0" labelOnly="1" outline="0" axis="axisRow" fieldPosition="0"/>
    </format>
    <format dxfId="55">
      <pivotArea dataOnly="0" labelOnly="1" outline="0" axis="axisValues" fieldPosition="0"/>
    </format>
    <format dxfId="56">
      <pivotArea dataOnly="0" labelOnly="1" outline="0" axis="axisValues" fieldPosition="0"/>
    </format>
    <format dxfId="57">
      <pivotArea outline="0" collapsedLevelsAreSubtotals="1" fieldPosition="0"/>
    </format>
    <format dxfId="58">
      <pivotArea outline="0" collapsedLevelsAreSubtotals="1" fieldPosition="0"/>
    </format>
    <format dxfId="59">
      <pivotArea outline="0" collapsedLevelsAreSubtotals="1" fieldPosition="0"/>
    </format>
    <format dxfId="60">
      <pivotArea outline="0" collapsedLevelsAreSubtotals="1" fieldPosition="0"/>
    </format>
    <format dxfId="61">
      <pivotArea outline="0" collapsedLevelsAreSubtotals="1" fieldPosition="0"/>
    </format>
    <format dxfId="62">
      <pivotArea outline="0" collapsedLevelsAreSubtotals="1" fieldPosition="0"/>
    </format>
    <format dxfId="63">
      <pivotArea outline="0" collapsedLevelsAreSubtotals="1" fieldPosition="0"/>
    </format>
    <format dxfId="64">
      <pivotArea outline="0" collapsedLevelsAreSubtotals="1" fieldPosition="0"/>
    </format>
    <format dxfId="65">
      <pivotArea outline="0" collapsedLevelsAreSubtotals="1" fieldPosition="0"/>
    </format>
    <format dxfId="66">
      <pivotArea outline="0" collapsedLevelsAreSubtotals="1" fieldPosition="0"/>
    </format>
    <format dxfId="67">
      <pivotArea outline="0" collapsedLevelsAreSubtotals="1" fieldPosition="0"/>
    </format>
    <format dxfId="68">
      <pivotArea outline="0" collapsedLevelsAreSubtotals="1" fieldPosition="0"/>
    </format>
    <format dxfId="69">
      <pivotArea outline="0" collapsedLevelsAreSubtotals="1" fieldPosition="0"/>
    </format>
    <format dxfId="70">
      <pivotArea outline="0" collapsedLevelsAreSubtotals="1" fieldPosition="0"/>
    </format>
    <format dxfId="71">
      <pivotArea outline="0" collapsedLevelsAreSubtotals="1" fieldPosition="0"/>
    </format>
    <format dxfId="72">
      <pivotArea outline="0" collapsedLevelsAreSubtotals="1" fieldPosition="0"/>
    </format>
    <format dxfId="73">
      <pivotArea outline="0" collapsedLevelsAreSubtotals="1" fieldPosition="0"/>
    </format>
    <format dxfId="74">
      <pivotArea outline="0" collapsedLevelsAreSubtotals="1" fieldPosition="0"/>
    </format>
    <format dxfId="75">
      <pivotArea outline="0" collapsedLevelsAreSubtotals="1" fieldPosition="0"/>
    </format>
    <format dxfId="76">
      <pivotArea outline="0" collapsedLevelsAreSubtotals="1" fieldPosition="0"/>
    </format>
    <format dxfId="77">
      <pivotArea type="all" dataOnly="0" outline="0" fieldPosition="0"/>
    </format>
    <format dxfId="78">
      <pivotArea outline="0" collapsedLevelsAreSubtotals="1" fieldPosition="0"/>
    </format>
    <format dxfId="79">
      <pivotArea field="5" type="button" dataOnly="0" labelOnly="1" outline="0" axis="axisRow" fieldPosition="0"/>
    </format>
    <format dxfId="80">
      <pivotArea dataOnly="0" labelOnly="1" fieldPosition="0">
        <references count="1">
          <reference field="5" count="0"/>
        </references>
      </pivotArea>
    </format>
    <format dxfId="81">
      <pivotArea dataOnly="0" labelOnly="1" grandRow="1" outline="0" fieldPosition="0"/>
    </format>
    <format dxfId="82">
      <pivotArea dataOnly="0" labelOnly="1" fieldPosition="0">
        <references count="2">
          <reference field="4" count="1">
            <x v="4"/>
          </reference>
          <reference field="5" count="1" selected="0">
            <x v="0"/>
          </reference>
        </references>
      </pivotArea>
    </format>
    <format dxfId="83">
      <pivotArea dataOnly="0" labelOnly="1" fieldPosition="0">
        <references count="2">
          <reference field="4" count="1">
            <x v="7"/>
          </reference>
          <reference field="5" count="1" selected="0">
            <x v="1"/>
          </reference>
        </references>
      </pivotArea>
    </format>
    <format dxfId="84">
      <pivotArea dataOnly="0" labelOnly="1" fieldPosition="0">
        <references count="2">
          <reference field="4" count="1">
            <x v="3"/>
          </reference>
          <reference field="5" count="1" selected="0">
            <x v="2"/>
          </reference>
        </references>
      </pivotArea>
    </format>
    <format dxfId="85">
      <pivotArea dataOnly="0" labelOnly="1" fieldPosition="0">
        <references count="2">
          <reference field="4" count="1">
            <x v="6"/>
          </reference>
          <reference field="5" count="1" selected="0">
            <x v="3"/>
          </reference>
        </references>
      </pivotArea>
    </format>
    <format dxfId="86">
      <pivotArea dataOnly="0" labelOnly="1" fieldPosition="0">
        <references count="2">
          <reference field="4" count="1">
            <x v="2"/>
          </reference>
          <reference field="5" count="1" selected="0">
            <x v="4"/>
          </reference>
        </references>
      </pivotArea>
    </format>
    <format dxfId="87">
      <pivotArea dataOnly="0" labelOnly="1" fieldPosition="0">
        <references count="2">
          <reference field="4" count="1">
            <x v="9"/>
          </reference>
          <reference field="5" count="1" selected="0">
            <x v="5"/>
          </reference>
        </references>
      </pivotArea>
    </format>
    <format dxfId="88">
      <pivotArea dataOnly="0" labelOnly="1" fieldPosition="0">
        <references count="2">
          <reference field="4" count="1">
            <x v="0"/>
          </reference>
          <reference field="5" count="1" selected="0">
            <x v="6"/>
          </reference>
        </references>
      </pivotArea>
    </format>
    <format dxfId="89">
      <pivotArea dataOnly="0" labelOnly="1" fieldPosition="0">
        <references count="2">
          <reference field="4" count="1">
            <x v="8"/>
          </reference>
          <reference field="5" count="1" selected="0">
            <x v="7"/>
          </reference>
        </references>
      </pivotArea>
    </format>
    <format dxfId="90">
      <pivotArea dataOnly="0" labelOnly="1" fieldPosition="0">
        <references count="2">
          <reference field="4" count="1">
            <x v="5"/>
          </reference>
          <reference field="5" count="1" selected="0">
            <x v="8"/>
          </reference>
        </references>
      </pivotArea>
    </format>
    <format dxfId="91">
      <pivotArea dataOnly="0" labelOnly="1" fieldPosition="0">
        <references count="2">
          <reference field="4" count="1">
            <x v="1"/>
          </reference>
          <reference field="5" count="1" selected="0">
            <x v="9"/>
          </reference>
        </references>
      </pivotArea>
    </format>
    <format dxfId="92">
      <pivotArea dataOnly="0" labelOnly="1" outline="0" axis="axisValues" fieldPosition="0"/>
    </format>
    <format dxfId="93">
      <pivotArea type="all" dataOnly="0" outline="0" fieldPosition="0"/>
    </format>
    <format dxfId="94">
      <pivotArea outline="0" collapsedLevelsAreSubtotals="1" fieldPosition="0"/>
    </format>
    <format dxfId="95">
      <pivotArea field="5" type="button" dataOnly="0" labelOnly="1" outline="0" axis="axisRow" fieldPosition="0"/>
    </format>
    <format dxfId="96">
      <pivotArea dataOnly="0" labelOnly="1" fieldPosition="0">
        <references count="1">
          <reference field="5" count="0"/>
        </references>
      </pivotArea>
    </format>
    <format dxfId="97">
      <pivotArea dataOnly="0" labelOnly="1" grandRow="1" outline="0" fieldPosition="0"/>
    </format>
    <format dxfId="98">
      <pivotArea dataOnly="0" labelOnly="1" fieldPosition="0">
        <references count="2">
          <reference field="4" count="1">
            <x v="4"/>
          </reference>
          <reference field="5" count="1" selected="0">
            <x v="0"/>
          </reference>
        </references>
      </pivotArea>
    </format>
    <format dxfId="99">
      <pivotArea dataOnly="0" labelOnly="1" fieldPosition="0">
        <references count="2">
          <reference field="4" count="1">
            <x v="7"/>
          </reference>
          <reference field="5" count="1" selected="0">
            <x v="1"/>
          </reference>
        </references>
      </pivotArea>
    </format>
    <format dxfId="100">
      <pivotArea dataOnly="0" labelOnly="1" fieldPosition="0">
        <references count="2">
          <reference field="4" count="1">
            <x v="3"/>
          </reference>
          <reference field="5" count="1" selected="0">
            <x v="2"/>
          </reference>
        </references>
      </pivotArea>
    </format>
    <format dxfId="101">
      <pivotArea dataOnly="0" labelOnly="1" fieldPosition="0">
        <references count="2">
          <reference field="4" count="1">
            <x v="6"/>
          </reference>
          <reference field="5" count="1" selected="0">
            <x v="3"/>
          </reference>
        </references>
      </pivotArea>
    </format>
    <format dxfId="102">
      <pivotArea dataOnly="0" labelOnly="1" fieldPosition="0">
        <references count="2">
          <reference field="4" count="1">
            <x v="2"/>
          </reference>
          <reference field="5" count="1" selected="0">
            <x v="4"/>
          </reference>
        </references>
      </pivotArea>
    </format>
    <format dxfId="103">
      <pivotArea dataOnly="0" labelOnly="1" fieldPosition="0">
        <references count="2">
          <reference field="4" count="1">
            <x v="9"/>
          </reference>
          <reference field="5" count="1" selected="0">
            <x v="5"/>
          </reference>
        </references>
      </pivotArea>
    </format>
    <format dxfId="104">
      <pivotArea dataOnly="0" labelOnly="1" fieldPosition="0">
        <references count="2">
          <reference field="4" count="1">
            <x v="0"/>
          </reference>
          <reference field="5" count="1" selected="0">
            <x v="6"/>
          </reference>
        </references>
      </pivotArea>
    </format>
    <format dxfId="105">
      <pivotArea dataOnly="0" labelOnly="1" fieldPosition="0">
        <references count="2">
          <reference field="4" count="1">
            <x v="8"/>
          </reference>
          <reference field="5" count="1" selected="0">
            <x v="7"/>
          </reference>
        </references>
      </pivotArea>
    </format>
    <format dxfId="106">
      <pivotArea dataOnly="0" labelOnly="1" fieldPosition="0">
        <references count="2">
          <reference field="4" count="1">
            <x v="5"/>
          </reference>
          <reference field="5" count="1" selected="0">
            <x v="8"/>
          </reference>
        </references>
      </pivotArea>
    </format>
    <format dxfId="107">
      <pivotArea dataOnly="0" labelOnly="1" fieldPosition="0">
        <references count="2">
          <reference field="4" count="1">
            <x v="1"/>
          </reference>
          <reference field="5" count="1" selected="0">
            <x v="9"/>
          </reference>
        </references>
      </pivotArea>
    </format>
    <format dxfId="108">
      <pivotArea dataOnly="0" labelOnly="1" outline="0" axis="axisValues" fieldPosition="0"/>
    </format>
    <format dxfId="109">
      <pivotArea type="all" dataOnly="0" outline="0" fieldPosition="0"/>
    </format>
    <format dxfId="110">
      <pivotArea outline="0" collapsedLevelsAreSubtotals="1" fieldPosition="0"/>
    </format>
    <format dxfId="111">
      <pivotArea field="5" type="button" dataOnly="0" labelOnly="1" outline="0" axis="axisRow" fieldPosition="0"/>
    </format>
    <format dxfId="112">
      <pivotArea dataOnly="0" labelOnly="1" fieldPosition="0">
        <references count="1">
          <reference field="5" count="0"/>
        </references>
      </pivotArea>
    </format>
    <format dxfId="113">
      <pivotArea dataOnly="0" labelOnly="1" grandRow="1" outline="0" fieldPosition="0"/>
    </format>
    <format dxfId="114">
      <pivotArea dataOnly="0" labelOnly="1" fieldPosition="0">
        <references count="2">
          <reference field="4" count="1">
            <x v="4"/>
          </reference>
          <reference field="5" count="1" selected="0">
            <x v="0"/>
          </reference>
        </references>
      </pivotArea>
    </format>
    <format dxfId="115">
      <pivotArea dataOnly="0" labelOnly="1" fieldPosition="0">
        <references count="2">
          <reference field="4" count="1">
            <x v="7"/>
          </reference>
          <reference field="5" count="1" selected="0">
            <x v="1"/>
          </reference>
        </references>
      </pivotArea>
    </format>
    <format dxfId="116">
      <pivotArea dataOnly="0" labelOnly="1" fieldPosition="0">
        <references count="2">
          <reference field="4" count="1">
            <x v="3"/>
          </reference>
          <reference field="5" count="1" selected="0">
            <x v="2"/>
          </reference>
        </references>
      </pivotArea>
    </format>
    <format dxfId="117">
      <pivotArea dataOnly="0" labelOnly="1" fieldPosition="0">
        <references count="2">
          <reference field="4" count="1">
            <x v="6"/>
          </reference>
          <reference field="5" count="1" selected="0">
            <x v="3"/>
          </reference>
        </references>
      </pivotArea>
    </format>
    <format dxfId="118">
      <pivotArea dataOnly="0" labelOnly="1" fieldPosition="0">
        <references count="2">
          <reference field="4" count="1">
            <x v="2"/>
          </reference>
          <reference field="5" count="1" selected="0">
            <x v="4"/>
          </reference>
        </references>
      </pivotArea>
    </format>
    <format dxfId="119">
      <pivotArea dataOnly="0" labelOnly="1" fieldPosition="0">
        <references count="2">
          <reference field="4" count="1">
            <x v="9"/>
          </reference>
          <reference field="5" count="1" selected="0">
            <x v="5"/>
          </reference>
        </references>
      </pivotArea>
    </format>
    <format dxfId="120">
      <pivotArea dataOnly="0" labelOnly="1" fieldPosition="0">
        <references count="2">
          <reference field="4" count="1">
            <x v="0"/>
          </reference>
          <reference field="5" count="1" selected="0">
            <x v="6"/>
          </reference>
        </references>
      </pivotArea>
    </format>
    <format dxfId="121">
      <pivotArea dataOnly="0" labelOnly="1" fieldPosition="0">
        <references count="2">
          <reference field="4" count="1">
            <x v="8"/>
          </reference>
          <reference field="5" count="1" selected="0">
            <x v="7"/>
          </reference>
        </references>
      </pivotArea>
    </format>
    <format dxfId="122">
      <pivotArea dataOnly="0" labelOnly="1" fieldPosition="0">
        <references count="2">
          <reference field="4" count="1">
            <x v="5"/>
          </reference>
          <reference field="5" count="1" selected="0">
            <x v="8"/>
          </reference>
        </references>
      </pivotArea>
    </format>
    <format dxfId="123">
      <pivotArea dataOnly="0" labelOnly="1" fieldPosition="0">
        <references count="2">
          <reference field="4" count="1">
            <x v="1"/>
          </reference>
          <reference field="5" count="1" selected="0">
            <x v="9"/>
          </reference>
        </references>
      </pivotArea>
    </format>
    <format dxfId="124">
      <pivotArea dataOnly="0" labelOnly="1" outline="0" axis="axisValues" fieldPosition="0"/>
    </format>
  </formats>
  <chartFormats count="2">
    <chartFormat chart="3"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Medium2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1E5B66-0C4C-48E5-A791-7FD6C67519B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30:M35"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numFmtId="2" showAll="0"/>
    <pivotField showAll="0"/>
    <pivotField axis="axisRow" showAll="0">
      <items count="5">
        <item x="0"/>
        <item x="1"/>
        <item x="3"/>
        <item x="2"/>
        <item t="default"/>
      </items>
    </pivotField>
    <pivotField showAll="0"/>
    <pivotField showAll="0"/>
    <pivotField numFmtId="14" showAll="0"/>
    <pivotField dataField="1" numFmtId="2" showAll="0"/>
    <pivotField showAll="0" defaultSubtotal="0"/>
    <pivotField showAll="0" defaultSubtotal="0"/>
    <pivotField showAll="0" defaultSubtotal="0">
      <items count="4">
        <item x="0"/>
        <item x="1"/>
        <item x="2"/>
        <item x="3"/>
      </items>
    </pivotField>
  </pivotFields>
  <rowFields count="1">
    <field x="9"/>
  </rowFields>
  <rowItems count="5">
    <i>
      <x/>
    </i>
    <i>
      <x v="1"/>
    </i>
    <i>
      <x v="2"/>
    </i>
    <i>
      <x v="3"/>
    </i>
    <i t="grand">
      <x/>
    </i>
  </rowItems>
  <colItems count="1">
    <i/>
  </colItems>
  <dataFields count="1">
    <dataField name="Sum of Total_Amount" fld="13" baseField="0" baseItem="0" numFmtId="164"/>
  </dataFields>
  <formats count="52">
    <format dxfId="177">
      <pivotArea type="all" dataOnly="0" outline="0" fieldPosition="0"/>
    </format>
    <format dxfId="176">
      <pivotArea outline="0" collapsedLevelsAreSubtotals="1" fieldPosition="0"/>
    </format>
    <format dxfId="175">
      <pivotArea field="9" type="button" dataOnly="0" labelOnly="1" outline="0" axis="axisRow" fieldPosition="0"/>
    </format>
    <format dxfId="174">
      <pivotArea dataOnly="0" labelOnly="1" outline="0" axis="axisValues" fieldPosition="0"/>
    </format>
    <format dxfId="173">
      <pivotArea dataOnly="0" labelOnly="1" fieldPosition="0">
        <references count="1">
          <reference field="9" count="0"/>
        </references>
      </pivotArea>
    </format>
    <format dxfId="172">
      <pivotArea dataOnly="0" labelOnly="1" grandRow="1" outline="0" fieldPosition="0"/>
    </format>
    <format dxfId="171">
      <pivotArea dataOnly="0" labelOnly="1" outline="0" axis="axisValues" fieldPosition="0"/>
    </format>
    <format dxfId="170">
      <pivotArea type="all" dataOnly="0" outline="0" fieldPosition="0"/>
    </format>
    <format dxfId="169">
      <pivotArea outline="0" collapsedLevelsAreSubtotals="1" fieldPosition="0"/>
    </format>
    <format dxfId="168">
      <pivotArea field="9" type="button" dataOnly="0" labelOnly="1" outline="0" axis="axisRow" fieldPosition="0"/>
    </format>
    <format dxfId="167">
      <pivotArea dataOnly="0" labelOnly="1" outline="0" axis="axisValues" fieldPosition="0"/>
    </format>
    <format dxfId="166">
      <pivotArea dataOnly="0" labelOnly="1" fieldPosition="0">
        <references count="1">
          <reference field="9" count="0"/>
        </references>
      </pivotArea>
    </format>
    <format dxfId="165">
      <pivotArea dataOnly="0" labelOnly="1" grandRow="1" outline="0" fieldPosition="0"/>
    </format>
    <format dxfId="164">
      <pivotArea dataOnly="0" labelOnly="1" outline="0" axis="axisValues" fieldPosition="0"/>
    </format>
    <format dxfId="163">
      <pivotArea type="all" dataOnly="0" outline="0" fieldPosition="0"/>
    </format>
    <format dxfId="162">
      <pivotArea outline="0" collapsedLevelsAreSubtotals="1" fieldPosition="0"/>
    </format>
    <format dxfId="161">
      <pivotArea field="9" type="button" dataOnly="0" labelOnly="1" outline="0" axis="axisRow" fieldPosition="0"/>
    </format>
    <format dxfId="160">
      <pivotArea dataOnly="0" labelOnly="1" outline="0" axis="axisValues" fieldPosition="0"/>
    </format>
    <format dxfId="159">
      <pivotArea dataOnly="0" labelOnly="1" fieldPosition="0">
        <references count="1">
          <reference field="9" count="0"/>
        </references>
      </pivotArea>
    </format>
    <format dxfId="158">
      <pivotArea dataOnly="0" labelOnly="1" grandRow="1" outline="0" fieldPosition="0"/>
    </format>
    <format dxfId="157">
      <pivotArea dataOnly="0" labelOnly="1" outline="0" axis="axisValues" fieldPosition="0"/>
    </format>
    <format dxfId="156">
      <pivotArea field="9" type="button" dataOnly="0" labelOnly="1" outline="0" axis="axisRow" fieldPosition="0"/>
    </format>
    <format dxfId="155">
      <pivotArea dataOnly="0" labelOnly="1" outline="0" axis="axisValues" fieldPosition="0"/>
    </format>
    <format dxfId="154">
      <pivotArea dataOnly="0" labelOnly="1" outline="0" axis="axisValues" fieldPosition="0"/>
    </format>
    <format dxfId="153">
      <pivotArea dataOnly="0" grandRow="1" fieldPosition="0"/>
    </format>
    <format dxfId="152">
      <pivotArea outline="0" collapsedLevelsAreSubtotals="1" fieldPosition="0"/>
    </format>
    <format dxfId="151">
      <pivotArea dataOnly="0" labelOnly="1" outline="0" axis="axisValues" fieldPosition="0"/>
    </format>
    <format dxfId="150">
      <pivotArea dataOnly="0" labelOnly="1" outline="0" axis="axisValues" fieldPosition="0"/>
    </format>
    <format dxfId="149">
      <pivotArea type="all" dataOnly="0" outline="0" fieldPosition="0"/>
    </format>
    <format dxfId="148">
      <pivotArea outline="0" collapsedLevelsAreSubtotals="1" fieldPosition="0"/>
    </format>
    <format dxfId="147">
      <pivotArea field="9" type="button" dataOnly="0" labelOnly="1" outline="0" axis="axisRow" fieldPosition="0"/>
    </format>
    <format dxfId="146">
      <pivotArea dataOnly="0" labelOnly="1" fieldPosition="0">
        <references count="1">
          <reference field="9" count="0"/>
        </references>
      </pivotArea>
    </format>
    <format dxfId="145">
      <pivotArea dataOnly="0" labelOnly="1" grandRow="1" outline="0" fieldPosition="0"/>
    </format>
    <format dxfId="144">
      <pivotArea dataOnly="0" labelOnly="1" outline="0" axis="axisValues" fieldPosition="0"/>
    </format>
    <format dxfId="143">
      <pivotArea type="all" dataOnly="0" outline="0" fieldPosition="0"/>
    </format>
    <format dxfId="142">
      <pivotArea outline="0" collapsedLevelsAreSubtotals="1" fieldPosition="0"/>
    </format>
    <format dxfId="141">
      <pivotArea field="9" type="button" dataOnly="0" labelOnly="1" outline="0" axis="axisRow" fieldPosition="0"/>
    </format>
    <format dxfId="140">
      <pivotArea dataOnly="0" labelOnly="1" fieldPosition="0">
        <references count="1">
          <reference field="9" count="0"/>
        </references>
      </pivotArea>
    </format>
    <format dxfId="139">
      <pivotArea dataOnly="0" labelOnly="1" grandRow="1" outline="0" fieldPosition="0"/>
    </format>
    <format dxfId="138">
      <pivotArea dataOnly="0" labelOnly="1" outline="0" axis="axisValues" fieldPosition="0"/>
    </format>
    <format dxfId="137">
      <pivotArea type="all" dataOnly="0" outline="0" fieldPosition="0"/>
    </format>
    <format dxfId="136">
      <pivotArea outline="0" collapsedLevelsAreSubtotals="1" fieldPosition="0"/>
    </format>
    <format dxfId="135">
      <pivotArea field="9" type="button" dataOnly="0" labelOnly="1" outline="0" axis="axisRow" fieldPosition="0"/>
    </format>
    <format dxfId="134">
      <pivotArea dataOnly="0" labelOnly="1" fieldPosition="0">
        <references count="1">
          <reference field="9" count="0"/>
        </references>
      </pivotArea>
    </format>
    <format dxfId="133">
      <pivotArea dataOnly="0" labelOnly="1" grandRow="1" outline="0" fieldPosition="0"/>
    </format>
    <format dxfId="132">
      <pivotArea dataOnly="0" labelOnly="1" outline="0" axis="axisValues" fieldPosition="0"/>
    </format>
    <format dxfId="131">
      <pivotArea type="all" dataOnly="0" outline="0" fieldPosition="0"/>
    </format>
    <format dxfId="130">
      <pivotArea outline="0" collapsedLevelsAreSubtotals="1" fieldPosition="0"/>
    </format>
    <format dxfId="129">
      <pivotArea field="9" type="button" dataOnly="0" labelOnly="1" outline="0" axis="axisRow" fieldPosition="0"/>
    </format>
    <format dxfId="128">
      <pivotArea dataOnly="0" labelOnly="1" fieldPosition="0">
        <references count="1">
          <reference field="9" count="0"/>
        </references>
      </pivotArea>
    </format>
    <format dxfId="127">
      <pivotArea dataOnly="0" labelOnly="1" grandRow="1" outline="0" fieldPosition="0"/>
    </format>
    <format dxfId="126">
      <pivotArea dataOnly="0" labelOnly="1" outline="0" axis="axisValues" fieldPosition="0"/>
    </format>
  </formats>
  <chartFormats count="5">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9" count="1" selected="0">
            <x v="0"/>
          </reference>
        </references>
      </pivotArea>
    </chartFormat>
    <chartFormat chart="6" format="13">
      <pivotArea type="data" outline="0" fieldPosition="0">
        <references count="2">
          <reference field="4294967294" count="1" selected="0">
            <x v="0"/>
          </reference>
          <reference field="9" count="1" selected="0">
            <x v="1"/>
          </reference>
        </references>
      </pivotArea>
    </chartFormat>
    <chartFormat chart="6" format="14">
      <pivotArea type="data" outline="0" fieldPosition="0">
        <references count="2">
          <reference field="4294967294" count="1" selected="0">
            <x v="0"/>
          </reference>
          <reference field="9" count="1" selected="0">
            <x v="2"/>
          </reference>
        </references>
      </pivotArea>
    </chartFormat>
    <chartFormat chart="6" format="15">
      <pivotArea type="data" outline="0" fieldPosition="0">
        <references count="2">
          <reference field="4294967294" count="1" selected="0">
            <x v="0"/>
          </reference>
          <reference field="9" count="1" selected="0">
            <x v="3"/>
          </reference>
        </references>
      </pivotArea>
    </chartFormat>
  </chartFormats>
  <pivotTableStyleInfo name="PivotStyleMedium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B8:C21" firstHeaderRow="1" firstDataRow="1" firstDataCol="1"/>
  <pivotFields count="17">
    <pivotField showAll="0"/>
    <pivotField axis="axisRow"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numFmtId="2" showAll="0"/>
    <pivotField showAll="0"/>
    <pivotField showAll="0"/>
    <pivotField showAll="0"/>
    <pivotField showAll="0"/>
    <pivotField numFmtId="14"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4"/>
    <field x="1"/>
  </rowFields>
  <rowItems count="13">
    <i>
      <x v="1"/>
    </i>
    <i>
      <x v="2"/>
    </i>
    <i>
      <x v="3"/>
    </i>
    <i>
      <x v="4"/>
    </i>
    <i>
      <x v="5"/>
    </i>
    <i>
      <x v="6"/>
    </i>
    <i>
      <x v="7"/>
    </i>
    <i>
      <x v="8"/>
    </i>
    <i>
      <x v="9"/>
    </i>
    <i>
      <x v="10"/>
    </i>
    <i>
      <x v="11"/>
    </i>
    <i>
      <x v="12"/>
    </i>
    <i t="grand">
      <x/>
    </i>
  </rowItems>
  <colItems count="1">
    <i/>
  </colItems>
  <dataFields count="1">
    <dataField name="Sum of Total_Amount" fld="13" baseField="0" baseItem="0" numFmtId="164"/>
  </dataFields>
  <formats count="55">
    <format dxfId="234">
      <pivotArea type="all" dataOnly="0" outline="0" fieldPosition="0"/>
    </format>
    <format dxfId="233">
      <pivotArea outline="0" collapsedLevelsAreSubtotals="1" fieldPosition="0"/>
    </format>
    <format dxfId="232">
      <pivotArea field="14" type="button" dataOnly="0" labelOnly="1" outline="0" axis="axisRow" fieldPosition="0"/>
    </format>
    <format dxfId="231">
      <pivotArea dataOnly="0" labelOnly="1" outline="0" axis="axisValues" fieldPosition="0"/>
    </format>
    <format dxfId="230">
      <pivotArea dataOnly="0" labelOnly="1" fieldPosition="0">
        <references count="1">
          <reference field="14" count="12">
            <x v="1"/>
            <x v="2"/>
            <x v="3"/>
            <x v="4"/>
            <x v="5"/>
            <x v="6"/>
            <x v="7"/>
            <x v="8"/>
            <x v="9"/>
            <x v="10"/>
            <x v="11"/>
            <x v="12"/>
          </reference>
        </references>
      </pivotArea>
    </format>
    <format dxfId="229">
      <pivotArea dataOnly="0" labelOnly="1" grandRow="1" outline="0" fieldPosition="0"/>
    </format>
    <format dxfId="228">
      <pivotArea dataOnly="0" labelOnly="1" outline="0" axis="axisValues" fieldPosition="0"/>
    </format>
    <format dxfId="227">
      <pivotArea type="all" dataOnly="0" outline="0" fieldPosition="0"/>
    </format>
    <format dxfId="226">
      <pivotArea outline="0" collapsedLevelsAreSubtotals="1" fieldPosition="0"/>
    </format>
    <format dxfId="225">
      <pivotArea field="14" type="button" dataOnly="0" labelOnly="1" outline="0" axis="axisRow" fieldPosition="0"/>
    </format>
    <format dxfId="224">
      <pivotArea dataOnly="0" labelOnly="1" outline="0" axis="axisValues" fieldPosition="0"/>
    </format>
    <format dxfId="223">
      <pivotArea dataOnly="0" labelOnly="1" fieldPosition="0">
        <references count="1">
          <reference field="14" count="12">
            <x v="1"/>
            <x v="2"/>
            <x v="3"/>
            <x v="4"/>
            <x v="5"/>
            <x v="6"/>
            <x v="7"/>
            <x v="8"/>
            <x v="9"/>
            <x v="10"/>
            <x v="11"/>
            <x v="12"/>
          </reference>
        </references>
      </pivotArea>
    </format>
    <format dxfId="222">
      <pivotArea dataOnly="0" labelOnly="1" grandRow="1" outline="0" fieldPosition="0"/>
    </format>
    <format dxfId="221">
      <pivotArea dataOnly="0" labelOnly="1" outline="0" axis="axisValues" fieldPosition="0"/>
    </format>
    <format dxfId="220">
      <pivotArea type="all" dataOnly="0" outline="0" fieldPosition="0"/>
    </format>
    <format dxfId="219">
      <pivotArea outline="0" collapsedLevelsAreSubtotals="1" fieldPosition="0"/>
    </format>
    <format dxfId="218">
      <pivotArea field="14" type="button" dataOnly="0" labelOnly="1" outline="0" axis="axisRow" fieldPosition="0"/>
    </format>
    <format dxfId="217">
      <pivotArea dataOnly="0" labelOnly="1" outline="0" axis="axisValues" fieldPosition="0"/>
    </format>
    <format dxfId="216">
      <pivotArea dataOnly="0" labelOnly="1" fieldPosition="0">
        <references count="1">
          <reference field="14" count="12">
            <x v="1"/>
            <x v="2"/>
            <x v="3"/>
            <x v="4"/>
            <x v="5"/>
            <x v="6"/>
            <x v="7"/>
            <x v="8"/>
            <x v="9"/>
            <x v="10"/>
            <x v="11"/>
            <x v="12"/>
          </reference>
        </references>
      </pivotArea>
    </format>
    <format dxfId="215">
      <pivotArea dataOnly="0" labelOnly="1" grandRow="1" outline="0" fieldPosition="0"/>
    </format>
    <format dxfId="214">
      <pivotArea dataOnly="0" labelOnly="1" outline="0" axis="axisValues" fieldPosition="0"/>
    </format>
    <format dxfId="213">
      <pivotArea grandRow="1" outline="0" collapsedLevelsAreSubtotals="1" fieldPosition="0"/>
    </format>
    <format dxfId="212">
      <pivotArea dataOnly="0" labelOnly="1" grandRow="1" outline="0" fieldPosition="0"/>
    </format>
    <format dxfId="211">
      <pivotArea field="14" type="button" dataOnly="0" labelOnly="1" outline="0" axis="axisRow" fieldPosition="0"/>
    </format>
    <format dxfId="210">
      <pivotArea dataOnly="0" labelOnly="1" outline="0" axis="axisValues" fieldPosition="0"/>
    </format>
    <format dxfId="209">
      <pivotArea dataOnly="0" labelOnly="1" outline="0" axis="axisValues" fieldPosition="0"/>
    </format>
    <format dxfId="208">
      <pivotArea outline="0" collapsedLevelsAreSubtotals="1" fieldPosition="0"/>
    </format>
    <format dxfId="207">
      <pivotArea dataOnly="0" labelOnly="1" outline="0" axis="axisValues" fieldPosition="0"/>
    </format>
    <format dxfId="206">
      <pivotArea dataOnly="0" labelOnly="1" outline="0" axis="axisValues" fieldPosition="0"/>
    </format>
    <format dxfId="205">
      <pivotArea type="all" dataOnly="0" outline="0" fieldPosition="0"/>
    </format>
    <format dxfId="204">
      <pivotArea outline="0" collapsedLevelsAreSubtotals="1" fieldPosition="0"/>
    </format>
    <format dxfId="203">
      <pivotArea field="14" type="button" dataOnly="0" labelOnly="1" outline="0" axis="axisRow" fieldPosition="0"/>
    </format>
    <format dxfId="202">
      <pivotArea dataOnly="0" labelOnly="1" outline="0" axis="axisValues" fieldPosition="0"/>
    </format>
    <format dxfId="201">
      <pivotArea dataOnly="0" labelOnly="1" fieldPosition="0">
        <references count="1">
          <reference field="14" count="12">
            <x v="1"/>
            <x v="2"/>
            <x v="3"/>
            <x v="4"/>
            <x v="5"/>
            <x v="6"/>
            <x v="7"/>
            <x v="8"/>
            <x v="9"/>
            <x v="10"/>
            <x v="11"/>
            <x v="12"/>
          </reference>
        </references>
      </pivotArea>
    </format>
    <format dxfId="200">
      <pivotArea dataOnly="0" labelOnly="1" grandRow="1" outline="0" fieldPosition="0"/>
    </format>
    <format dxfId="199">
      <pivotArea dataOnly="0" labelOnly="1" outline="0" axis="axisValues" fieldPosition="0"/>
    </format>
    <format dxfId="198">
      <pivotArea type="all" dataOnly="0" outline="0" fieldPosition="0"/>
    </format>
    <format dxfId="197">
      <pivotArea outline="0" collapsedLevelsAreSubtotals="1" fieldPosition="0"/>
    </format>
    <format dxfId="196">
      <pivotArea field="14" type="button" dataOnly="0" labelOnly="1" outline="0" axis="axisRow" fieldPosition="0"/>
    </format>
    <format dxfId="195">
      <pivotArea dataOnly="0" labelOnly="1" fieldPosition="0">
        <references count="1">
          <reference field="14" count="12">
            <x v="1"/>
            <x v="2"/>
            <x v="3"/>
            <x v="4"/>
            <x v="5"/>
            <x v="6"/>
            <x v="7"/>
            <x v="8"/>
            <x v="9"/>
            <x v="10"/>
            <x v="11"/>
            <x v="12"/>
          </reference>
        </references>
      </pivotArea>
    </format>
    <format dxfId="194">
      <pivotArea dataOnly="0" labelOnly="1" grandRow="1" outline="0" fieldPosition="0"/>
    </format>
    <format dxfId="193">
      <pivotArea dataOnly="0" labelOnly="1" outline="0" axis="axisValues" fieldPosition="0"/>
    </format>
    <format dxfId="192">
      <pivotArea type="all" dataOnly="0" outline="0" fieldPosition="0"/>
    </format>
    <format dxfId="191">
      <pivotArea outline="0" collapsedLevelsAreSubtotals="1" fieldPosition="0"/>
    </format>
    <format dxfId="190">
      <pivotArea field="14" type="button" dataOnly="0" labelOnly="1" outline="0" axis="axisRow" fieldPosition="0"/>
    </format>
    <format dxfId="189">
      <pivotArea dataOnly="0" labelOnly="1" fieldPosition="0">
        <references count="1">
          <reference field="14" count="12">
            <x v="1"/>
            <x v="2"/>
            <x v="3"/>
            <x v="4"/>
            <x v="5"/>
            <x v="6"/>
            <x v="7"/>
            <x v="8"/>
            <x v="9"/>
            <x v="10"/>
            <x v="11"/>
            <x v="12"/>
          </reference>
        </references>
      </pivotArea>
    </format>
    <format dxfId="188">
      <pivotArea dataOnly="0" labelOnly="1" grandRow="1" outline="0" fieldPosition="0"/>
    </format>
    <format dxfId="187">
      <pivotArea dataOnly="0" labelOnly="1" outline="0" axis="axisValues" fieldPosition="0"/>
    </format>
    <format dxfId="186">
      <pivotArea type="all" dataOnly="0" outline="0" fieldPosition="0"/>
    </format>
    <format dxfId="185">
      <pivotArea outline="0" collapsedLevelsAreSubtotals="1" fieldPosition="0"/>
    </format>
    <format dxfId="184">
      <pivotArea field="14" type="button" dataOnly="0" labelOnly="1" outline="0" axis="axisRow" fieldPosition="0"/>
    </format>
    <format dxfId="183">
      <pivotArea dataOnly="0" labelOnly="1" fieldPosition="0">
        <references count="1">
          <reference field="14" count="12">
            <x v="1"/>
            <x v="2"/>
            <x v="3"/>
            <x v="4"/>
            <x v="5"/>
            <x v="6"/>
            <x v="7"/>
            <x v="8"/>
            <x v="9"/>
            <x v="10"/>
            <x v="11"/>
            <x v="12"/>
          </reference>
        </references>
      </pivotArea>
    </format>
    <format dxfId="182">
      <pivotArea dataOnly="0" labelOnly="1" grandRow="1" outline="0" fieldPosition="0"/>
    </format>
    <format dxfId="181">
      <pivotArea dataOnly="0" labelOnly="1" outline="0" axis="axisValues" fieldPosition="0"/>
    </format>
    <format dxfId="180">
      <pivotArea dataOnly="0" labelOnly="1" outline="0" axis="axisValues" fieldPosition="0"/>
    </format>
  </formats>
  <chartFormats count="1">
    <chartFormat chart="4" format="5" series="1">
      <pivotArea type="data" outline="0" fieldPosition="0">
        <references count="1">
          <reference field="4294967294" count="1" selected="0">
            <x v="0"/>
          </reference>
        </references>
      </pivotArea>
    </chartFormat>
  </chart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DE8FDB-556B-4FE7-8707-C77329861E2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C6:AD12"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numFmtId="2" showAll="0"/>
    <pivotField showAll="0"/>
    <pivotField showAll="0"/>
    <pivotField axis="axisRow" showAll="0">
      <items count="6">
        <item x="0"/>
        <item x="4"/>
        <item x="2"/>
        <item x="1"/>
        <item x="3"/>
        <item t="default"/>
      </items>
    </pivotField>
    <pivotField showAll="0"/>
    <pivotField numFmtId="14" showAll="0"/>
    <pivotField dataField="1" numFmtId="2" showAll="0"/>
    <pivotField showAll="0" defaultSubtotal="0"/>
    <pivotField showAll="0" defaultSubtotal="0"/>
    <pivotField showAll="0" defaultSubtotal="0">
      <items count="4">
        <item x="0"/>
        <item x="1"/>
        <item x="2"/>
        <item x="3"/>
      </items>
    </pivotField>
  </pivotFields>
  <rowFields count="1">
    <field x="10"/>
  </rowFields>
  <rowItems count="6">
    <i>
      <x/>
    </i>
    <i>
      <x v="1"/>
    </i>
    <i>
      <x v="2"/>
    </i>
    <i>
      <x v="3"/>
    </i>
    <i>
      <x v="4"/>
    </i>
    <i t="grand">
      <x/>
    </i>
  </rowItems>
  <colItems count="1">
    <i/>
  </colItems>
  <dataFields count="1">
    <dataField name="Sum of Total_Amount" fld="13" baseField="0" baseItem="0" numFmtId="164"/>
  </dataFields>
  <formats count="48">
    <format dxfId="282">
      <pivotArea type="all" dataOnly="0" outline="0" fieldPosition="0"/>
    </format>
    <format dxfId="281">
      <pivotArea outline="0" collapsedLevelsAreSubtotals="1" fieldPosition="0"/>
    </format>
    <format dxfId="280">
      <pivotArea field="10" type="button" dataOnly="0" labelOnly="1" outline="0" axis="axisRow" fieldPosition="0"/>
    </format>
    <format dxfId="279">
      <pivotArea dataOnly="0" labelOnly="1" outline="0" axis="axisValues" fieldPosition="0"/>
    </format>
    <format dxfId="278">
      <pivotArea dataOnly="0" labelOnly="1" fieldPosition="0">
        <references count="1">
          <reference field="10" count="0"/>
        </references>
      </pivotArea>
    </format>
    <format dxfId="277">
      <pivotArea dataOnly="0" labelOnly="1" grandRow="1" outline="0" fieldPosition="0"/>
    </format>
    <format dxfId="276">
      <pivotArea dataOnly="0" labelOnly="1" outline="0" axis="axisValues" fieldPosition="0"/>
    </format>
    <format dxfId="275">
      <pivotArea type="all" dataOnly="0" outline="0" fieldPosition="0"/>
    </format>
    <format dxfId="274">
      <pivotArea outline="0" collapsedLevelsAreSubtotals="1" fieldPosition="0"/>
    </format>
    <format dxfId="273">
      <pivotArea field="10" type="button" dataOnly="0" labelOnly="1" outline="0" axis="axisRow" fieldPosition="0"/>
    </format>
    <format dxfId="272">
      <pivotArea dataOnly="0" labelOnly="1" outline="0" axis="axisValues" fieldPosition="0"/>
    </format>
    <format dxfId="271">
      <pivotArea dataOnly="0" labelOnly="1" fieldPosition="0">
        <references count="1">
          <reference field="10" count="0"/>
        </references>
      </pivotArea>
    </format>
    <format dxfId="270">
      <pivotArea dataOnly="0" labelOnly="1" grandRow="1" outline="0" fieldPosition="0"/>
    </format>
    <format dxfId="269">
      <pivotArea dataOnly="0" labelOnly="1" outline="0" axis="axisValues" fieldPosition="0"/>
    </format>
    <format dxfId="268">
      <pivotArea type="all" dataOnly="0" outline="0" fieldPosition="0"/>
    </format>
    <format dxfId="267">
      <pivotArea outline="0" collapsedLevelsAreSubtotals="1" fieldPosition="0"/>
    </format>
    <format dxfId="266">
      <pivotArea field="10" type="button" dataOnly="0" labelOnly="1" outline="0" axis="axisRow" fieldPosition="0"/>
    </format>
    <format dxfId="265">
      <pivotArea dataOnly="0" labelOnly="1" outline="0" axis="axisValues" fieldPosition="0"/>
    </format>
    <format dxfId="264">
      <pivotArea dataOnly="0" labelOnly="1" fieldPosition="0">
        <references count="1">
          <reference field="10" count="0"/>
        </references>
      </pivotArea>
    </format>
    <format dxfId="263">
      <pivotArea dataOnly="0" labelOnly="1" grandRow="1" outline="0" fieldPosition="0"/>
    </format>
    <format dxfId="262">
      <pivotArea dataOnly="0" labelOnly="1" outline="0" axis="axisValues" fieldPosition="0"/>
    </format>
    <format dxfId="261">
      <pivotArea dataOnly="0" grandRow="1" fieldPosition="0"/>
    </format>
    <format dxfId="260">
      <pivotArea field="10" type="button" dataOnly="0" labelOnly="1" outline="0" axis="axisRow" fieldPosition="0"/>
    </format>
    <format dxfId="259">
      <pivotArea dataOnly="0" labelOnly="1" outline="0" axis="axisValues" fieldPosition="0"/>
    </format>
    <format dxfId="258">
      <pivotArea dataOnly="0" labelOnly="1" outline="0" axis="axisValues" fieldPosition="0"/>
    </format>
    <format dxfId="257">
      <pivotArea dataOnly="0" labelOnly="1" outline="0" axis="axisValues" fieldPosition="0"/>
    </format>
    <format dxfId="256">
      <pivotArea dataOnly="0" labelOnly="1" outline="0" axis="axisValues" fieldPosition="0"/>
    </format>
    <format dxfId="255">
      <pivotArea outline="0" collapsedLevelsAreSubtotals="1" fieldPosition="0"/>
    </format>
    <format dxfId="254">
      <pivotArea dataOnly="0" labelOnly="1" outline="0" axis="axisValues" fieldPosition="0"/>
    </format>
    <format dxfId="253">
      <pivotArea dataOnly="0" labelOnly="1" outline="0" axis="axisValues" fieldPosition="0"/>
    </format>
    <format dxfId="252">
      <pivotArea type="all" dataOnly="0" outline="0" fieldPosition="0"/>
    </format>
    <format dxfId="251">
      <pivotArea outline="0" collapsedLevelsAreSubtotals="1" fieldPosition="0"/>
    </format>
    <format dxfId="250">
      <pivotArea field="10" type="button" dataOnly="0" labelOnly="1" outline="0" axis="axisRow" fieldPosition="0"/>
    </format>
    <format dxfId="249">
      <pivotArea dataOnly="0" labelOnly="1" fieldPosition="0">
        <references count="1">
          <reference field="10" count="0"/>
        </references>
      </pivotArea>
    </format>
    <format dxfId="248">
      <pivotArea dataOnly="0" labelOnly="1" grandRow="1" outline="0" fieldPosition="0"/>
    </format>
    <format dxfId="247">
      <pivotArea dataOnly="0" labelOnly="1" outline="0" axis="axisValues" fieldPosition="0"/>
    </format>
    <format dxfId="246">
      <pivotArea type="all" dataOnly="0" outline="0" fieldPosition="0"/>
    </format>
    <format dxfId="245">
      <pivotArea outline="0" collapsedLevelsAreSubtotals="1" fieldPosition="0"/>
    </format>
    <format dxfId="244">
      <pivotArea field="10" type="button" dataOnly="0" labelOnly="1" outline="0" axis="axisRow" fieldPosition="0"/>
    </format>
    <format dxfId="243">
      <pivotArea dataOnly="0" labelOnly="1" fieldPosition="0">
        <references count="1">
          <reference field="10" count="0"/>
        </references>
      </pivotArea>
    </format>
    <format dxfId="242">
      <pivotArea dataOnly="0" labelOnly="1" grandRow="1" outline="0" fieldPosition="0"/>
    </format>
    <format dxfId="241">
      <pivotArea dataOnly="0" labelOnly="1" outline="0" axis="axisValues" fieldPosition="0"/>
    </format>
    <format dxfId="240">
      <pivotArea type="all" dataOnly="0" outline="0" fieldPosition="0"/>
    </format>
    <format dxfId="239">
      <pivotArea outline="0" collapsedLevelsAreSubtotals="1" fieldPosition="0"/>
    </format>
    <format dxfId="238">
      <pivotArea field="10" type="button" dataOnly="0" labelOnly="1" outline="0" axis="axisRow" fieldPosition="0"/>
    </format>
    <format dxfId="237">
      <pivotArea dataOnly="0" labelOnly="1" fieldPosition="0">
        <references count="1">
          <reference field="10" count="0"/>
        </references>
      </pivotArea>
    </format>
    <format dxfId="236">
      <pivotArea dataOnly="0" labelOnly="1" grandRow="1" outline="0" fieldPosition="0"/>
    </format>
    <format dxfId="235">
      <pivotArea dataOnly="0" labelOnly="1" outline="0" axis="axisValues" fieldPosition="0"/>
    </format>
  </formats>
  <chartFormats count="1">
    <chartFormat chart="9" format="3" series="1">
      <pivotArea type="data" outline="0" fieldPosition="0">
        <references count="1">
          <reference field="4294967294" count="1" selected="0">
            <x v="0"/>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00000000-0013-0000-FFFF-FFFF01000000}" sourceName="Months (Date)">
  <pivotTables>
    <pivotTable tabId="17" name="PivotTable3"/>
    <pivotTable tabId="16" name="PivotTable2"/>
  </pivotTables>
  <data>
    <tabular pivotCacheId="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00000000-0014-0000-FFFF-FFFF01000000}" cache="Slicer_Months__Date" caption="Months (Date)"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N251" totalsRowShown="0" headerRowDxfId="579" dataDxfId="577" headerRowBorderDxfId="578" tableBorderDxfId="576" totalsRowBorderDxfId="575">
  <autoFilter ref="A1:N251" xr:uid="{00000000-0009-0000-0100-000002000000}"/>
  <tableColumns count="14">
    <tableColumn id="1" xr3:uid="{00000000-0010-0000-0000-000001000000}" name="Transaction_ID" dataDxfId="574"/>
    <tableColumn id="2" xr3:uid="{00000000-0010-0000-0000-000002000000}" name="Date" dataDxfId="573"/>
    <tableColumn id="3" xr3:uid="{00000000-0010-0000-0000-000003000000}" name="Customer_ID" dataDxfId="572"/>
    <tableColumn id="4" xr3:uid="{00000000-0010-0000-0000-000004000000}" name="Customer_Name" dataDxfId="571"/>
    <tableColumn id="5" xr3:uid="{00000000-0010-0000-0000-000005000000}" name="Product_ID" dataDxfId="570"/>
    <tableColumn id="6" xr3:uid="{00000000-0010-0000-0000-000006000000}" name="Product_Name" dataDxfId="569"/>
    <tableColumn id="7" xr3:uid="{00000000-0010-0000-0000-000007000000}" name="Category" dataDxfId="568"/>
    <tableColumn id="8" xr3:uid="{00000000-0010-0000-0000-000008000000}" name="Quantity" dataDxfId="567"/>
    <tableColumn id="9" xr3:uid="{00000000-0010-0000-0000-000009000000}" name="Unit_Price" dataDxfId="566"/>
    <tableColumn id="10" xr3:uid="{00000000-0010-0000-0000-00000A000000}" name="Payment_Method" dataDxfId="565"/>
    <tableColumn id="11" xr3:uid="{00000000-0010-0000-0000-00000B000000}" name="Region" dataDxfId="564"/>
    <tableColumn id="12" xr3:uid="{00000000-0010-0000-0000-00000C000000}" name="Customer_Segment" dataDxfId="563"/>
    <tableColumn id="13" xr3:uid="{00000000-0010-0000-0000-00000D000000}" name="Customer_Since" dataDxfId="562"/>
    <tableColumn id="14" xr3:uid="{00000000-0010-0000-0000-00000E000000}" name="Total_Amount" dataDxfId="561">
      <calculatedColumnFormula>H2*I2</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Facet">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7" Type="http://schemas.microsoft.com/office/2007/relationships/slicer" Target="../slicers/slicer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1"/>
  <sheetViews>
    <sheetView tabSelected="1" zoomScale="80" workbookViewId="0">
      <selection activeCell="O5" sqref="O5"/>
    </sheetView>
  </sheetViews>
  <sheetFormatPr defaultRowHeight="18.600000000000001" customHeight="1" x14ac:dyDescent="0.3"/>
  <cols>
    <col min="1" max="1" width="15.44140625" customWidth="1"/>
    <col min="2" max="2" width="11.6640625" customWidth="1"/>
    <col min="3" max="3" width="13.77734375" customWidth="1"/>
    <col min="4" max="4" width="17" customWidth="1"/>
    <col min="5" max="5" width="12.33203125" customWidth="1"/>
    <col min="6" max="6" width="15.5546875" customWidth="1"/>
    <col min="7" max="7" width="10.44140625" customWidth="1"/>
    <col min="8" max="8" width="10.21875" style="4" customWidth="1"/>
    <col min="9" max="9" width="11.5546875" customWidth="1"/>
    <col min="10" max="10" width="18.21875" customWidth="1"/>
    <col min="12" max="12" width="19.44140625" customWidth="1"/>
    <col min="13" max="13" width="16.44140625" customWidth="1"/>
    <col min="14" max="14" width="15" style="4" customWidth="1"/>
  </cols>
  <sheetData>
    <row r="1" spans="1:14" ht="27" customHeight="1" thickBot="1" x14ac:dyDescent="0.35">
      <c r="A1" s="46" t="s">
        <v>0</v>
      </c>
      <c r="B1" s="47" t="s">
        <v>1</v>
      </c>
      <c r="C1" s="47" t="s">
        <v>2</v>
      </c>
      <c r="D1" s="47" t="s">
        <v>3</v>
      </c>
      <c r="E1" s="47" t="s">
        <v>4</v>
      </c>
      <c r="F1" s="47" t="s">
        <v>5</v>
      </c>
      <c r="G1" s="47" t="s">
        <v>6</v>
      </c>
      <c r="H1" s="48" t="s">
        <v>7</v>
      </c>
      <c r="I1" s="47" t="s">
        <v>8</v>
      </c>
      <c r="J1" s="47" t="s">
        <v>9</v>
      </c>
      <c r="K1" s="47" t="s">
        <v>10</v>
      </c>
      <c r="L1" s="47" t="s">
        <v>11</v>
      </c>
      <c r="M1" s="47" t="s">
        <v>12</v>
      </c>
      <c r="N1" s="49" t="s">
        <v>13</v>
      </c>
    </row>
    <row r="2" spans="1:14" ht="18.600000000000001" customHeight="1" thickBot="1" x14ac:dyDescent="0.35">
      <c r="A2" s="44" t="s">
        <v>14</v>
      </c>
      <c r="B2" s="2">
        <v>45393</v>
      </c>
      <c r="C2" s="1" t="s">
        <v>15</v>
      </c>
      <c r="D2" s="1" t="s">
        <v>16</v>
      </c>
      <c r="E2" s="1" t="s">
        <v>17</v>
      </c>
      <c r="F2" s="1" t="s">
        <v>18</v>
      </c>
      <c r="G2" s="1" t="s">
        <v>19</v>
      </c>
      <c r="H2" s="3">
        <v>3</v>
      </c>
      <c r="I2" s="1">
        <v>1999.99</v>
      </c>
      <c r="J2" s="1" t="s">
        <v>20</v>
      </c>
      <c r="K2" s="1" t="s">
        <v>21</v>
      </c>
      <c r="L2" s="1" t="s">
        <v>22</v>
      </c>
      <c r="M2" s="2">
        <v>44425</v>
      </c>
      <c r="N2" s="45">
        <f>H2*I2</f>
        <v>5999.97</v>
      </c>
    </row>
    <row r="3" spans="1:14" ht="18.600000000000001" customHeight="1" thickBot="1" x14ac:dyDescent="0.35">
      <c r="A3" s="44" t="s">
        <v>23</v>
      </c>
      <c r="B3" s="2">
        <v>45396</v>
      </c>
      <c r="C3" s="1" t="s">
        <v>24</v>
      </c>
      <c r="D3" s="1" t="s">
        <v>25</v>
      </c>
      <c r="E3" s="1" t="s">
        <v>17</v>
      </c>
      <c r="F3" s="1" t="s">
        <v>18</v>
      </c>
      <c r="G3" s="1" t="s">
        <v>19</v>
      </c>
      <c r="H3" s="3">
        <v>3</v>
      </c>
      <c r="I3" s="1">
        <v>3599.99</v>
      </c>
      <c r="J3" s="1" t="s">
        <v>26</v>
      </c>
      <c r="K3" s="1" t="s">
        <v>21</v>
      </c>
      <c r="L3" s="1" t="s">
        <v>27</v>
      </c>
      <c r="M3" s="2">
        <v>44575</v>
      </c>
      <c r="N3" s="45">
        <f t="shared" ref="N3:N66" si="0">H3*I3</f>
        <v>10799.97</v>
      </c>
    </row>
    <row r="4" spans="1:14" ht="18.600000000000001" customHeight="1" thickBot="1" x14ac:dyDescent="0.35">
      <c r="A4" s="44" t="s">
        <v>28</v>
      </c>
      <c r="B4" s="2">
        <v>45399</v>
      </c>
      <c r="C4" s="1" t="s">
        <v>29</v>
      </c>
      <c r="D4" s="1" t="s">
        <v>30</v>
      </c>
      <c r="E4" s="1" t="s">
        <v>31</v>
      </c>
      <c r="F4" s="1" t="s">
        <v>32</v>
      </c>
      <c r="G4" s="1" t="s">
        <v>33</v>
      </c>
      <c r="H4" s="3">
        <v>3</v>
      </c>
      <c r="I4" s="1">
        <v>2899.99</v>
      </c>
      <c r="J4" s="1" t="s">
        <v>34</v>
      </c>
      <c r="K4" s="1" t="s">
        <v>35</v>
      </c>
      <c r="L4" s="1" t="s">
        <v>36</v>
      </c>
      <c r="M4" s="2">
        <v>45262</v>
      </c>
      <c r="N4" s="45">
        <f t="shared" si="0"/>
        <v>8699.9699999999993</v>
      </c>
    </row>
    <row r="5" spans="1:14" ht="18.600000000000001" customHeight="1" thickBot="1" x14ac:dyDescent="0.35">
      <c r="A5" s="44" t="s">
        <v>37</v>
      </c>
      <c r="B5" s="2">
        <v>45400</v>
      </c>
      <c r="C5" s="1" t="s">
        <v>38</v>
      </c>
      <c r="D5" s="1" t="s">
        <v>39</v>
      </c>
      <c r="E5" s="1" t="s">
        <v>31</v>
      </c>
      <c r="F5" s="1" t="s">
        <v>32</v>
      </c>
      <c r="G5" s="1" t="s">
        <v>33</v>
      </c>
      <c r="H5" s="3">
        <v>3</v>
      </c>
      <c r="I5" s="1">
        <v>959.99</v>
      </c>
      <c r="J5" s="1" t="s">
        <v>20</v>
      </c>
      <c r="K5" s="1" t="s">
        <v>40</v>
      </c>
      <c r="L5" s="1" t="s">
        <v>27</v>
      </c>
      <c r="M5" s="2">
        <v>45114</v>
      </c>
      <c r="N5" s="45">
        <f t="shared" si="0"/>
        <v>2879.9700000000003</v>
      </c>
    </row>
    <row r="6" spans="1:14" ht="18.600000000000001" customHeight="1" thickBot="1" x14ac:dyDescent="0.35">
      <c r="A6" s="44" t="s">
        <v>41</v>
      </c>
      <c r="B6" s="2">
        <v>45400</v>
      </c>
      <c r="C6" s="1" t="s">
        <v>42</v>
      </c>
      <c r="D6" s="1" t="s">
        <v>43</v>
      </c>
      <c r="E6" s="1" t="s">
        <v>44</v>
      </c>
      <c r="F6" s="1" t="s">
        <v>45</v>
      </c>
      <c r="G6" s="1" t="s">
        <v>46</v>
      </c>
      <c r="H6" s="3">
        <v>5</v>
      </c>
      <c r="I6" s="1">
        <v>149.99</v>
      </c>
      <c r="J6" s="1" t="s">
        <v>26</v>
      </c>
      <c r="K6" s="1" t="s">
        <v>40</v>
      </c>
      <c r="L6" s="1" t="s">
        <v>27</v>
      </c>
      <c r="M6" s="2">
        <v>45295</v>
      </c>
      <c r="N6" s="45">
        <f t="shared" si="0"/>
        <v>749.95</v>
      </c>
    </row>
    <row r="7" spans="1:14" ht="18.600000000000001" customHeight="1" thickBot="1" x14ac:dyDescent="0.35">
      <c r="A7" s="44" t="s">
        <v>47</v>
      </c>
      <c r="B7" s="2">
        <v>45403</v>
      </c>
      <c r="C7" s="1" t="s">
        <v>48</v>
      </c>
      <c r="D7" s="1" t="s">
        <v>49</v>
      </c>
      <c r="E7" s="1" t="s">
        <v>31</v>
      </c>
      <c r="F7" s="1" t="s">
        <v>32</v>
      </c>
      <c r="G7" s="1" t="s">
        <v>33</v>
      </c>
      <c r="H7" s="3">
        <v>2</v>
      </c>
      <c r="I7" s="1">
        <v>29.99</v>
      </c>
      <c r="J7" s="1" t="s">
        <v>20</v>
      </c>
      <c r="K7" s="1" t="s">
        <v>50</v>
      </c>
      <c r="L7" s="1" t="s">
        <v>36</v>
      </c>
      <c r="M7" s="2">
        <v>44746</v>
      </c>
      <c r="N7" s="45">
        <f t="shared" si="0"/>
        <v>59.98</v>
      </c>
    </row>
    <row r="8" spans="1:14" ht="18.600000000000001" customHeight="1" thickBot="1" x14ac:dyDescent="0.35">
      <c r="A8" s="44" t="s">
        <v>51</v>
      </c>
      <c r="B8" s="2">
        <v>45403</v>
      </c>
      <c r="C8" s="1" t="s">
        <v>48</v>
      </c>
      <c r="D8" s="1" t="s">
        <v>49</v>
      </c>
      <c r="E8" s="1" t="s">
        <v>52</v>
      </c>
      <c r="F8" s="1" t="s">
        <v>53</v>
      </c>
      <c r="G8" s="1" t="s">
        <v>19</v>
      </c>
      <c r="H8" s="3">
        <v>5</v>
      </c>
      <c r="I8" s="1">
        <v>119.99</v>
      </c>
      <c r="J8" s="1" t="s">
        <v>26</v>
      </c>
      <c r="K8" s="1" t="s">
        <v>21</v>
      </c>
      <c r="L8" s="1" t="s">
        <v>36</v>
      </c>
      <c r="M8" s="2">
        <v>44418</v>
      </c>
      <c r="N8" s="45">
        <f t="shared" si="0"/>
        <v>599.94999999999993</v>
      </c>
    </row>
    <row r="9" spans="1:14" ht="18.600000000000001" customHeight="1" thickBot="1" x14ac:dyDescent="0.35">
      <c r="A9" s="44" t="s">
        <v>54</v>
      </c>
      <c r="B9" s="2">
        <v>45403</v>
      </c>
      <c r="C9" s="1" t="s">
        <v>55</v>
      </c>
      <c r="D9" s="1" t="s">
        <v>56</v>
      </c>
      <c r="E9" s="1" t="s">
        <v>31</v>
      </c>
      <c r="F9" s="1" t="s">
        <v>32</v>
      </c>
      <c r="G9" s="1" t="s">
        <v>33</v>
      </c>
      <c r="H9" s="3">
        <v>20.004000800160032</v>
      </c>
      <c r="I9" s="1">
        <v>49.99</v>
      </c>
      <c r="J9" s="1" t="s">
        <v>57</v>
      </c>
      <c r="K9" s="1" t="s">
        <v>35</v>
      </c>
      <c r="L9" s="1" t="s">
        <v>22</v>
      </c>
      <c r="M9" s="2">
        <v>45007</v>
      </c>
      <c r="N9" s="45">
        <f t="shared" si="0"/>
        <v>1000</v>
      </c>
    </row>
    <row r="10" spans="1:14" ht="18.600000000000001" customHeight="1" thickBot="1" x14ac:dyDescent="0.35">
      <c r="A10" s="44" t="s">
        <v>58</v>
      </c>
      <c r="B10" s="2">
        <v>45405</v>
      </c>
      <c r="C10" s="1" t="s">
        <v>59</v>
      </c>
      <c r="D10" s="1" t="s">
        <v>60</v>
      </c>
      <c r="E10" s="1" t="s">
        <v>61</v>
      </c>
      <c r="F10" s="1" t="s">
        <v>62</v>
      </c>
      <c r="G10" s="1" t="s">
        <v>19</v>
      </c>
      <c r="H10" s="3">
        <v>3</v>
      </c>
      <c r="I10" s="1">
        <v>899.99</v>
      </c>
      <c r="J10" s="1" t="s">
        <v>34</v>
      </c>
      <c r="K10" s="1" t="s">
        <v>63</v>
      </c>
      <c r="L10" s="1" t="s">
        <v>36</v>
      </c>
      <c r="M10" s="2">
        <v>45299</v>
      </c>
      <c r="N10" s="45">
        <f t="shared" si="0"/>
        <v>2699.9700000000003</v>
      </c>
    </row>
    <row r="11" spans="1:14" ht="18.600000000000001" customHeight="1" thickBot="1" x14ac:dyDescent="0.35">
      <c r="A11" s="44" t="s">
        <v>64</v>
      </c>
      <c r="B11" s="2">
        <v>45408</v>
      </c>
      <c r="C11" s="1" t="s">
        <v>65</v>
      </c>
      <c r="D11" s="1" t="s">
        <v>66</v>
      </c>
      <c r="E11" s="1" t="s">
        <v>31</v>
      </c>
      <c r="F11" s="1" t="s">
        <v>32</v>
      </c>
      <c r="G11" s="1" t="s">
        <v>33</v>
      </c>
      <c r="H11" s="3">
        <v>3</v>
      </c>
      <c r="I11" s="1">
        <v>59.99</v>
      </c>
      <c r="J11" s="1" t="s">
        <v>20</v>
      </c>
      <c r="K11" s="1" t="s">
        <v>50</v>
      </c>
      <c r="L11" s="1" t="s">
        <v>27</v>
      </c>
      <c r="M11" s="2">
        <v>45207</v>
      </c>
      <c r="N11" s="45">
        <f t="shared" si="0"/>
        <v>179.97</v>
      </c>
    </row>
    <row r="12" spans="1:14" ht="18.600000000000001" customHeight="1" thickBot="1" x14ac:dyDescent="0.35">
      <c r="A12" s="44" t="s">
        <v>67</v>
      </c>
      <c r="B12" s="2">
        <v>45408</v>
      </c>
      <c r="C12" s="1" t="s">
        <v>68</v>
      </c>
      <c r="D12" s="1" t="s">
        <v>69</v>
      </c>
      <c r="E12" s="1" t="s">
        <v>44</v>
      </c>
      <c r="F12" s="1" t="s">
        <v>45</v>
      </c>
      <c r="G12" s="1" t="s">
        <v>46</v>
      </c>
      <c r="H12" s="3">
        <v>1</v>
      </c>
      <c r="I12" s="1">
        <v>149.99</v>
      </c>
      <c r="J12" s="1" t="s">
        <v>26</v>
      </c>
      <c r="K12" s="1" t="s">
        <v>50</v>
      </c>
      <c r="L12" s="1" t="s">
        <v>36</v>
      </c>
      <c r="M12" s="2">
        <v>45103</v>
      </c>
      <c r="N12" s="45">
        <f t="shared" si="0"/>
        <v>149.99</v>
      </c>
    </row>
    <row r="13" spans="1:14" ht="18.600000000000001" customHeight="1" thickBot="1" x14ac:dyDescent="0.35">
      <c r="A13" s="44" t="s">
        <v>70</v>
      </c>
      <c r="B13" s="2">
        <v>45408</v>
      </c>
      <c r="C13" s="1" t="s">
        <v>38</v>
      </c>
      <c r="D13" s="1" t="s">
        <v>39</v>
      </c>
      <c r="E13" s="1" t="s">
        <v>44</v>
      </c>
      <c r="F13" s="1" t="s">
        <v>45</v>
      </c>
      <c r="G13" s="1" t="s">
        <v>46</v>
      </c>
      <c r="H13" s="3">
        <v>5</v>
      </c>
      <c r="I13" s="1">
        <v>149.99</v>
      </c>
      <c r="J13" s="1" t="s">
        <v>57</v>
      </c>
      <c r="K13" s="1" t="s">
        <v>40</v>
      </c>
      <c r="L13" s="1" t="s">
        <v>22</v>
      </c>
      <c r="M13" s="2">
        <v>44830</v>
      </c>
      <c r="N13" s="45">
        <f t="shared" si="0"/>
        <v>749.95</v>
      </c>
    </row>
    <row r="14" spans="1:14" ht="18.600000000000001" customHeight="1" thickBot="1" x14ac:dyDescent="0.35">
      <c r="A14" s="44" t="s">
        <v>71</v>
      </c>
      <c r="B14" s="2">
        <v>45408</v>
      </c>
      <c r="C14" s="1" t="s">
        <v>72</v>
      </c>
      <c r="D14" s="1" t="s">
        <v>73</v>
      </c>
      <c r="E14" s="1" t="s">
        <v>44</v>
      </c>
      <c r="F14" s="1" t="s">
        <v>45</v>
      </c>
      <c r="G14" s="1" t="s">
        <v>46</v>
      </c>
      <c r="H14" s="3">
        <v>3</v>
      </c>
      <c r="I14" s="1">
        <v>149.99</v>
      </c>
      <c r="J14" s="1" t="s">
        <v>20</v>
      </c>
      <c r="K14" s="1" t="s">
        <v>40</v>
      </c>
      <c r="L14" s="1" t="s">
        <v>27</v>
      </c>
      <c r="M14" s="2">
        <v>44806</v>
      </c>
      <c r="N14" s="45">
        <f t="shared" si="0"/>
        <v>449.97</v>
      </c>
    </row>
    <row r="15" spans="1:14" ht="18.600000000000001" customHeight="1" thickBot="1" x14ac:dyDescent="0.35">
      <c r="A15" s="44" t="s">
        <v>74</v>
      </c>
      <c r="B15" s="2">
        <v>45409</v>
      </c>
      <c r="C15" s="1" t="s">
        <v>75</v>
      </c>
      <c r="D15" s="1" t="s">
        <v>76</v>
      </c>
      <c r="E15" s="1" t="s">
        <v>31</v>
      </c>
      <c r="F15" s="1" t="s">
        <v>32</v>
      </c>
      <c r="G15" s="1" t="s">
        <v>33</v>
      </c>
      <c r="H15" s="3">
        <v>3</v>
      </c>
      <c r="I15" s="1">
        <v>59.99</v>
      </c>
      <c r="J15" s="1" t="s">
        <v>26</v>
      </c>
      <c r="K15" s="1" t="s">
        <v>40</v>
      </c>
      <c r="L15" s="1" t="s">
        <v>36</v>
      </c>
      <c r="M15" s="2">
        <v>45351</v>
      </c>
      <c r="N15" s="45">
        <f t="shared" si="0"/>
        <v>179.97</v>
      </c>
    </row>
    <row r="16" spans="1:14" ht="18.600000000000001" customHeight="1" thickBot="1" x14ac:dyDescent="0.35">
      <c r="A16" s="44" t="s">
        <v>77</v>
      </c>
      <c r="B16" s="2">
        <v>45409</v>
      </c>
      <c r="C16" s="1" t="s">
        <v>78</v>
      </c>
      <c r="D16" s="1" t="s">
        <v>79</v>
      </c>
      <c r="E16" s="1" t="s">
        <v>80</v>
      </c>
      <c r="F16" s="1" t="s">
        <v>81</v>
      </c>
      <c r="G16" s="1" t="s">
        <v>19</v>
      </c>
      <c r="H16" s="3">
        <v>3</v>
      </c>
      <c r="I16" s="1">
        <v>699.99</v>
      </c>
      <c r="J16" s="1" t="s">
        <v>26</v>
      </c>
      <c r="K16" s="1" t="s">
        <v>50</v>
      </c>
      <c r="L16" s="1" t="s">
        <v>22</v>
      </c>
      <c r="M16" s="2">
        <v>44577</v>
      </c>
      <c r="N16" s="45">
        <f t="shared" si="0"/>
        <v>2099.9700000000003</v>
      </c>
    </row>
    <row r="17" spans="1:14" ht="18.600000000000001" customHeight="1" thickBot="1" x14ac:dyDescent="0.35">
      <c r="A17" s="44" t="s">
        <v>82</v>
      </c>
      <c r="B17" s="2">
        <v>45409</v>
      </c>
      <c r="C17" s="1" t="s">
        <v>83</v>
      </c>
      <c r="D17" s="1" t="s">
        <v>84</v>
      </c>
      <c r="E17" s="1" t="s">
        <v>61</v>
      </c>
      <c r="F17" s="1" t="s">
        <v>62</v>
      </c>
      <c r="G17" s="1" t="s">
        <v>19</v>
      </c>
      <c r="H17" s="3">
        <v>1</v>
      </c>
      <c r="I17" s="1">
        <v>899.99</v>
      </c>
      <c r="J17" s="1" t="s">
        <v>57</v>
      </c>
      <c r="K17" s="1" t="s">
        <v>40</v>
      </c>
      <c r="L17" s="1" t="s">
        <v>36</v>
      </c>
      <c r="M17" s="2">
        <v>44920</v>
      </c>
      <c r="N17" s="45">
        <f t="shared" si="0"/>
        <v>899.99</v>
      </c>
    </row>
    <row r="18" spans="1:14" ht="18.600000000000001" customHeight="1" thickBot="1" x14ac:dyDescent="0.35">
      <c r="A18" s="44" t="s">
        <v>85</v>
      </c>
      <c r="B18" s="2">
        <v>45410</v>
      </c>
      <c r="C18" s="1" t="s">
        <v>86</v>
      </c>
      <c r="D18" s="1" t="s">
        <v>87</v>
      </c>
      <c r="E18" s="1" t="s">
        <v>44</v>
      </c>
      <c r="F18" s="1" t="s">
        <v>45</v>
      </c>
      <c r="G18" s="1" t="s">
        <v>46</v>
      </c>
      <c r="H18" s="3">
        <v>4</v>
      </c>
      <c r="I18" s="1">
        <v>149.99</v>
      </c>
      <c r="J18" s="1" t="s">
        <v>57</v>
      </c>
      <c r="K18" s="1" t="s">
        <v>40</v>
      </c>
      <c r="L18" s="1" t="s">
        <v>27</v>
      </c>
      <c r="M18" s="2">
        <v>45374</v>
      </c>
      <c r="N18" s="45">
        <f t="shared" si="0"/>
        <v>599.96</v>
      </c>
    </row>
    <row r="19" spans="1:14" ht="18.600000000000001" customHeight="1" thickBot="1" x14ac:dyDescent="0.35">
      <c r="A19" s="44" t="s">
        <v>88</v>
      </c>
      <c r="B19" s="2">
        <v>45410</v>
      </c>
      <c r="C19" s="1" t="s">
        <v>89</v>
      </c>
      <c r="D19" s="1" t="s">
        <v>90</v>
      </c>
      <c r="E19" s="1" t="s">
        <v>80</v>
      </c>
      <c r="F19" s="1" t="s">
        <v>81</v>
      </c>
      <c r="G19" s="1" t="s">
        <v>19</v>
      </c>
      <c r="H19" s="3">
        <v>2</v>
      </c>
      <c r="I19" s="1">
        <v>699.99</v>
      </c>
      <c r="J19" s="1" t="s">
        <v>20</v>
      </c>
      <c r="K19" s="1" t="s">
        <v>40</v>
      </c>
      <c r="L19" s="1" t="s">
        <v>22</v>
      </c>
      <c r="M19" s="2">
        <v>44781</v>
      </c>
      <c r="N19" s="45">
        <f t="shared" si="0"/>
        <v>1399.98</v>
      </c>
    </row>
    <row r="20" spans="1:14" ht="18.600000000000001" customHeight="1" thickBot="1" x14ac:dyDescent="0.35">
      <c r="A20" s="44" t="s">
        <v>91</v>
      </c>
      <c r="B20" s="2">
        <v>45410</v>
      </c>
      <c r="C20" s="1" t="s">
        <v>86</v>
      </c>
      <c r="D20" s="1" t="s">
        <v>87</v>
      </c>
      <c r="E20" s="1" t="s">
        <v>61</v>
      </c>
      <c r="F20" s="1" t="s">
        <v>62</v>
      </c>
      <c r="G20" s="1" t="s">
        <v>19</v>
      </c>
      <c r="H20" s="3">
        <v>4</v>
      </c>
      <c r="I20" s="1">
        <v>899.99</v>
      </c>
      <c r="J20" s="1" t="s">
        <v>26</v>
      </c>
      <c r="K20" s="1" t="s">
        <v>50</v>
      </c>
      <c r="L20" s="1" t="s">
        <v>36</v>
      </c>
      <c r="M20" s="2">
        <v>45327</v>
      </c>
      <c r="N20" s="45">
        <f t="shared" si="0"/>
        <v>3599.96</v>
      </c>
    </row>
    <row r="21" spans="1:14" ht="18.600000000000001" customHeight="1" thickBot="1" x14ac:dyDescent="0.35">
      <c r="A21" s="44" t="s">
        <v>92</v>
      </c>
      <c r="B21" s="2">
        <v>45410</v>
      </c>
      <c r="C21" s="1" t="s">
        <v>93</v>
      </c>
      <c r="D21" s="1" t="s">
        <v>94</v>
      </c>
      <c r="E21" s="1" t="s">
        <v>17</v>
      </c>
      <c r="F21" s="1" t="s">
        <v>18</v>
      </c>
      <c r="G21" s="1" t="s">
        <v>19</v>
      </c>
      <c r="H21" s="3">
        <v>3</v>
      </c>
      <c r="I21" s="1">
        <v>249.99</v>
      </c>
      <c r="J21" s="1" t="s">
        <v>26</v>
      </c>
      <c r="K21" s="1" t="s">
        <v>40</v>
      </c>
      <c r="L21" s="1" t="s">
        <v>27</v>
      </c>
      <c r="M21" s="2">
        <v>45224</v>
      </c>
      <c r="N21" s="45">
        <f t="shared" si="0"/>
        <v>749.97</v>
      </c>
    </row>
    <row r="22" spans="1:14" ht="18.600000000000001" customHeight="1" thickBot="1" x14ac:dyDescent="0.35">
      <c r="A22" s="44" t="s">
        <v>95</v>
      </c>
      <c r="B22" s="2">
        <v>45412</v>
      </c>
      <c r="C22" s="1" t="s">
        <v>96</v>
      </c>
      <c r="D22" s="1" t="s">
        <v>97</v>
      </c>
      <c r="E22" s="1" t="s">
        <v>80</v>
      </c>
      <c r="F22" s="1" t="s">
        <v>81</v>
      </c>
      <c r="G22" s="1" t="s">
        <v>19</v>
      </c>
      <c r="H22" s="3">
        <v>5</v>
      </c>
      <c r="I22" s="1">
        <v>699.99</v>
      </c>
      <c r="J22" s="1" t="s">
        <v>20</v>
      </c>
      <c r="K22" s="1" t="s">
        <v>50</v>
      </c>
      <c r="L22" s="1" t="s">
        <v>22</v>
      </c>
      <c r="M22" s="2">
        <v>45167</v>
      </c>
      <c r="N22" s="45">
        <f t="shared" si="0"/>
        <v>3499.95</v>
      </c>
    </row>
    <row r="23" spans="1:14" ht="18.600000000000001" customHeight="1" thickBot="1" x14ac:dyDescent="0.35">
      <c r="A23" s="44" t="s">
        <v>98</v>
      </c>
      <c r="B23" s="2">
        <v>45413</v>
      </c>
      <c r="C23" s="1" t="s">
        <v>99</v>
      </c>
      <c r="D23" s="1" t="s">
        <v>100</v>
      </c>
      <c r="E23" s="1" t="s">
        <v>80</v>
      </c>
      <c r="F23" s="1" t="s">
        <v>81</v>
      </c>
      <c r="G23" s="1" t="s">
        <v>19</v>
      </c>
      <c r="H23" s="3">
        <v>4</v>
      </c>
      <c r="I23" s="1">
        <v>699.99</v>
      </c>
      <c r="J23" s="1" t="s">
        <v>20</v>
      </c>
      <c r="K23" s="1" t="s">
        <v>63</v>
      </c>
      <c r="L23" s="1" t="s">
        <v>36</v>
      </c>
      <c r="M23" s="2">
        <v>44409</v>
      </c>
      <c r="N23" s="45">
        <f t="shared" si="0"/>
        <v>2799.96</v>
      </c>
    </row>
    <row r="24" spans="1:14" ht="18.600000000000001" customHeight="1" thickBot="1" x14ac:dyDescent="0.35">
      <c r="A24" s="44" t="s">
        <v>101</v>
      </c>
      <c r="B24" s="2">
        <v>45415</v>
      </c>
      <c r="C24" s="1" t="s">
        <v>102</v>
      </c>
      <c r="D24" s="1" t="s">
        <v>103</v>
      </c>
      <c r="E24" s="1" t="s">
        <v>17</v>
      </c>
      <c r="F24" s="1" t="s">
        <v>18</v>
      </c>
      <c r="G24" s="1" t="s">
        <v>19</v>
      </c>
      <c r="H24" s="3">
        <v>4</v>
      </c>
      <c r="I24" s="1">
        <v>249.99</v>
      </c>
      <c r="J24" s="1" t="s">
        <v>34</v>
      </c>
      <c r="K24" s="1" t="s">
        <v>40</v>
      </c>
      <c r="L24" s="1" t="s">
        <v>36</v>
      </c>
      <c r="M24" s="2">
        <v>44468</v>
      </c>
      <c r="N24" s="45">
        <f t="shared" si="0"/>
        <v>999.96</v>
      </c>
    </row>
    <row r="25" spans="1:14" ht="18.600000000000001" customHeight="1" thickBot="1" x14ac:dyDescent="0.35">
      <c r="A25" s="44" t="s">
        <v>104</v>
      </c>
      <c r="B25" s="2">
        <v>45416</v>
      </c>
      <c r="C25" s="1" t="s">
        <v>86</v>
      </c>
      <c r="D25" s="1" t="s">
        <v>87</v>
      </c>
      <c r="E25" s="1" t="s">
        <v>105</v>
      </c>
      <c r="F25" s="1" t="s">
        <v>106</v>
      </c>
      <c r="G25" s="1" t="s">
        <v>46</v>
      </c>
      <c r="H25" s="3">
        <v>4</v>
      </c>
      <c r="I25" s="1">
        <v>299.99</v>
      </c>
      <c r="J25" s="1" t="s">
        <v>20</v>
      </c>
      <c r="K25" s="1" t="s">
        <v>50</v>
      </c>
      <c r="L25" s="1" t="s">
        <v>27</v>
      </c>
      <c r="M25" s="2">
        <v>44716</v>
      </c>
      <c r="N25" s="45">
        <f t="shared" si="0"/>
        <v>1199.96</v>
      </c>
    </row>
    <row r="26" spans="1:14" ht="18.600000000000001" customHeight="1" thickBot="1" x14ac:dyDescent="0.35">
      <c r="A26" s="44" t="s">
        <v>107</v>
      </c>
      <c r="B26" s="2">
        <v>45422</v>
      </c>
      <c r="C26" s="1" t="s">
        <v>108</v>
      </c>
      <c r="D26" s="1" t="s">
        <v>109</v>
      </c>
      <c r="E26" s="1" t="s">
        <v>17</v>
      </c>
      <c r="F26" s="1" t="s">
        <v>18</v>
      </c>
      <c r="G26" s="1" t="s">
        <v>19</v>
      </c>
      <c r="H26" s="3">
        <v>5</v>
      </c>
      <c r="I26" s="1">
        <v>249.99</v>
      </c>
      <c r="J26" s="1" t="s">
        <v>26</v>
      </c>
      <c r="K26" s="1" t="s">
        <v>50</v>
      </c>
      <c r="L26" s="1" t="s">
        <v>36</v>
      </c>
      <c r="M26" s="2">
        <v>44525</v>
      </c>
      <c r="N26" s="45">
        <f t="shared" si="0"/>
        <v>1249.95</v>
      </c>
    </row>
    <row r="27" spans="1:14" ht="18.600000000000001" customHeight="1" thickBot="1" x14ac:dyDescent="0.35">
      <c r="A27" s="44" t="s">
        <v>110</v>
      </c>
      <c r="B27" s="2">
        <v>45424</v>
      </c>
      <c r="C27" s="1" t="s">
        <v>68</v>
      </c>
      <c r="D27" s="1" t="s">
        <v>69</v>
      </c>
      <c r="E27" s="1" t="s">
        <v>105</v>
      </c>
      <c r="F27" s="1" t="s">
        <v>106</v>
      </c>
      <c r="G27" s="1" t="s">
        <v>46</v>
      </c>
      <c r="H27" s="3">
        <v>5</v>
      </c>
      <c r="I27" s="1">
        <v>299.99</v>
      </c>
      <c r="J27" s="1" t="s">
        <v>34</v>
      </c>
      <c r="K27" s="1" t="s">
        <v>63</v>
      </c>
      <c r="L27" s="1" t="s">
        <v>22</v>
      </c>
      <c r="M27" s="2">
        <v>45168</v>
      </c>
      <c r="N27" s="45">
        <f t="shared" si="0"/>
        <v>1499.95</v>
      </c>
    </row>
    <row r="28" spans="1:14" ht="18.600000000000001" customHeight="1" thickBot="1" x14ac:dyDescent="0.35">
      <c r="A28" s="44" t="s">
        <v>111</v>
      </c>
      <c r="B28" s="2">
        <v>45424</v>
      </c>
      <c r="C28" s="1" t="s">
        <v>112</v>
      </c>
      <c r="D28" s="1" t="s">
        <v>113</v>
      </c>
      <c r="E28" s="1" t="s">
        <v>114</v>
      </c>
      <c r="F28" s="1" t="s">
        <v>115</v>
      </c>
      <c r="G28" s="1" t="s">
        <v>33</v>
      </c>
      <c r="H28" s="3">
        <v>3</v>
      </c>
      <c r="I28" s="1">
        <v>79.989999999999995</v>
      </c>
      <c r="J28" s="1" t="s">
        <v>34</v>
      </c>
      <c r="K28" s="1" t="s">
        <v>63</v>
      </c>
      <c r="L28" s="1" t="s">
        <v>27</v>
      </c>
      <c r="M28" s="2">
        <v>45012</v>
      </c>
      <c r="N28" s="45">
        <f t="shared" si="0"/>
        <v>239.96999999999997</v>
      </c>
    </row>
    <row r="29" spans="1:14" ht="18.600000000000001" customHeight="1" thickBot="1" x14ac:dyDescent="0.35">
      <c r="A29" s="44" t="s">
        <v>116</v>
      </c>
      <c r="B29" s="2">
        <v>45424</v>
      </c>
      <c r="C29" s="1" t="s">
        <v>99</v>
      </c>
      <c r="D29" s="1" t="s">
        <v>100</v>
      </c>
      <c r="E29" s="1" t="s">
        <v>117</v>
      </c>
      <c r="F29" s="1" t="s">
        <v>118</v>
      </c>
      <c r="G29" s="1" t="s">
        <v>19</v>
      </c>
      <c r="H29" s="3">
        <v>5</v>
      </c>
      <c r="I29" s="1">
        <v>89.99</v>
      </c>
      <c r="J29" s="1" t="s">
        <v>20</v>
      </c>
      <c r="K29" s="1" t="s">
        <v>40</v>
      </c>
      <c r="L29" s="1" t="s">
        <v>27</v>
      </c>
      <c r="M29" s="2">
        <v>44919</v>
      </c>
      <c r="N29" s="45">
        <f t="shared" si="0"/>
        <v>449.95</v>
      </c>
    </row>
    <row r="30" spans="1:14" ht="18.600000000000001" customHeight="1" thickBot="1" x14ac:dyDescent="0.35">
      <c r="A30" s="44" t="s">
        <v>119</v>
      </c>
      <c r="B30" s="2">
        <v>45425</v>
      </c>
      <c r="C30" s="1" t="s">
        <v>120</v>
      </c>
      <c r="D30" s="1" t="s">
        <v>121</v>
      </c>
      <c r="E30" s="1" t="s">
        <v>31</v>
      </c>
      <c r="F30" s="1" t="s">
        <v>32</v>
      </c>
      <c r="G30" s="1" t="s">
        <v>33</v>
      </c>
      <c r="H30" s="3">
        <v>2</v>
      </c>
      <c r="I30" s="1">
        <v>59.99</v>
      </c>
      <c r="J30" s="1" t="s">
        <v>57</v>
      </c>
      <c r="K30" s="1" t="s">
        <v>21</v>
      </c>
      <c r="L30" s="1" t="s">
        <v>36</v>
      </c>
      <c r="M30" s="2">
        <v>45214</v>
      </c>
      <c r="N30" s="45">
        <f t="shared" si="0"/>
        <v>119.98</v>
      </c>
    </row>
    <row r="31" spans="1:14" ht="18.600000000000001" customHeight="1" thickBot="1" x14ac:dyDescent="0.35">
      <c r="A31" s="44" t="s">
        <v>122</v>
      </c>
      <c r="B31" s="2">
        <v>45427</v>
      </c>
      <c r="C31" s="1" t="s">
        <v>123</v>
      </c>
      <c r="D31" s="1" t="s">
        <v>124</v>
      </c>
      <c r="E31" s="1" t="s">
        <v>31</v>
      </c>
      <c r="F31" s="1" t="s">
        <v>32</v>
      </c>
      <c r="G31" s="1" t="s">
        <v>33</v>
      </c>
      <c r="H31" s="3">
        <v>4</v>
      </c>
      <c r="I31" s="1">
        <v>59.99</v>
      </c>
      <c r="J31" s="1" t="s">
        <v>57</v>
      </c>
      <c r="K31" s="1" t="s">
        <v>63</v>
      </c>
      <c r="L31" s="1" t="s">
        <v>36</v>
      </c>
      <c r="M31" s="2">
        <v>44867</v>
      </c>
      <c r="N31" s="45">
        <f t="shared" si="0"/>
        <v>239.96</v>
      </c>
    </row>
    <row r="32" spans="1:14" ht="18.600000000000001" customHeight="1" thickBot="1" x14ac:dyDescent="0.35">
      <c r="A32" s="44" t="s">
        <v>125</v>
      </c>
      <c r="B32" s="2">
        <v>45427</v>
      </c>
      <c r="C32" s="1" t="s">
        <v>55</v>
      </c>
      <c r="D32" s="1" t="s">
        <v>56</v>
      </c>
      <c r="E32" s="1" t="s">
        <v>126</v>
      </c>
      <c r="F32" s="1" t="s">
        <v>127</v>
      </c>
      <c r="G32" s="1" t="s">
        <v>46</v>
      </c>
      <c r="H32" s="3">
        <v>5</v>
      </c>
      <c r="I32" s="1">
        <v>199.99</v>
      </c>
      <c r="J32" s="1" t="s">
        <v>20</v>
      </c>
      <c r="K32" s="1" t="s">
        <v>35</v>
      </c>
      <c r="L32" s="1" t="s">
        <v>36</v>
      </c>
      <c r="M32" s="2">
        <v>44412</v>
      </c>
      <c r="N32" s="45">
        <f t="shared" si="0"/>
        <v>999.95</v>
      </c>
    </row>
    <row r="33" spans="1:14" ht="18.600000000000001" customHeight="1" thickBot="1" x14ac:dyDescent="0.35">
      <c r="A33" s="44" t="s">
        <v>128</v>
      </c>
      <c r="B33" s="2">
        <v>45428</v>
      </c>
      <c r="C33" s="1" t="s">
        <v>129</v>
      </c>
      <c r="D33" s="1" t="s">
        <v>130</v>
      </c>
      <c r="E33" s="1" t="s">
        <v>44</v>
      </c>
      <c r="F33" s="1" t="s">
        <v>45</v>
      </c>
      <c r="G33" s="1" t="s">
        <v>46</v>
      </c>
      <c r="H33" s="3">
        <v>2</v>
      </c>
      <c r="I33" s="1">
        <v>149.99</v>
      </c>
      <c r="J33" s="1" t="s">
        <v>26</v>
      </c>
      <c r="K33" s="1" t="s">
        <v>50</v>
      </c>
      <c r="L33" s="1" t="s">
        <v>22</v>
      </c>
      <c r="M33" s="2">
        <v>44823</v>
      </c>
      <c r="N33" s="45">
        <f t="shared" si="0"/>
        <v>299.98</v>
      </c>
    </row>
    <row r="34" spans="1:14" ht="18.600000000000001" customHeight="1" thickBot="1" x14ac:dyDescent="0.35">
      <c r="A34" s="44" t="s">
        <v>131</v>
      </c>
      <c r="B34" s="2">
        <v>45430</v>
      </c>
      <c r="C34" s="1" t="s">
        <v>132</v>
      </c>
      <c r="D34" s="1" t="s">
        <v>133</v>
      </c>
      <c r="E34" s="1" t="s">
        <v>44</v>
      </c>
      <c r="F34" s="1" t="s">
        <v>45</v>
      </c>
      <c r="G34" s="1" t="s">
        <v>46</v>
      </c>
      <c r="H34" s="3">
        <v>3</v>
      </c>
      <c r="I34" s="1">
        <v>149.99</v>
      </c>
      <c r="J34" s="1" t="s">
        <v>26</v>
      </c>
      <c r="K34" s="1" t="s">
        <v>50</v>
      </c>
      <c r="L34" s="1" t="s">
        <v>27</v>
      </c>
      <c r="M34" s="2">
        <v>45068</v>
      </c>
      <c r="N34" s="45">
        <f t="shared" si="0"/>
        <v>449.97</v>
      </c>
    </row>
    <row r="35" spans="1:14" ht="18.600000000000001" customHeight="1" thickBot="1" x14ac:dyDescent="0.35">
      <c r="A35" s="44" t="s">
        <v>134</v>
      </c>
      <c r="B35" s="2">
        <v>45432</v>
      </c>
      <c r="C35" s="1" t="s">
        <v>29</v>
      </c>
      <c r="D35" s="1" t="s">
        <v>30</v>
      </c>
      <c r="E35" s="1" t="s">
        <v>61</v>
      </c>
      <c r="F35" s="1" t="s">
        <v>62</v>
      </c>
      <c r="G35" s="1" t="s">
        <v>19</v>
      </c>
      <c r="H35" s="3">
        <v>1</v>
      </c>
      <c r="I35" s="1">
        <v>899.99</v>
      </c>
      <c r="J35" s="1" t="s">
        <v>26</v>
      </c>
      <c r="K35" s="1" t="s">
        <v>50</v>
      </c>
      <c r="L35" s="1" t="s">
        <v>27</v>
      </c>
      <c r="M35" s="2">
        <v>44578</v>
      </c>
      <c r="N35" s="45">
        <f t="shared" si="0"/>
        <v>899.99</v>
      </c>
    </row>
    <row r="36" spans="1:14" ht="18.600000000000001" customHeight="1" thickBot="1" x14ac:dyDescent="0.35">
      <c r="A36" s="44" t="s">
        <v>135</v>
      </c>
      <c r="B36" s="2">
        <v>45434</v>
      </c>
      <c r="C36" s="1" t="s">
        <v>99</v>
      </c>
      <c r="D36" s="1" t="s">
        <v>100</v>
      </c>
      <c r="E36" s="1" t="s">
        <v>105</v>
      </c>
      <c r="F36" s="1" t="s">
        <v>106</v>
      </c>
      <c r="G36" s="1" t="s">
        <v>46</v>
      </c>
      <c r="H36" s="3">
        <v>3</v>
      </c>
      <c r="I36" s="1">
        <v>299.99</v>
      </c>
      <c r="J36" s="1" t="s">
        <v>26</v>
      </c>
      <c r="K36" s="1" t="s">
        <v>63</v>
      </c>
      <c r="L36" s="1" t="s">
        <v>22</v>
      </c>
      <c r="M36" s="2">
        <v>44824</v>
      </c>
      <c r="N36" s="45">
        <f t="shared" si="0"/>
        <v>899.97</v>
      </c>
    </row>
    <row r="37" spans="1:14" ht="18.600000000000001" customHeight="1" thickBot="1" x14ac:dyDescent="0.35">
      <c r="A37" s="44" t="s">
        <v>136</v>
      </c>
      <c r="B37" s="2">
        <v>45435</v>
      </c>
      <c r="C37" s="1" t="s">
        <v>129</v>
      </c>
      <c r="D37" s="1" t="s">
        <v>130</v>
      </c>
      <c r="E37" s="1" t="s">
        <v>114</v>
      </c>
      <c r="F37" s="1" t="s">
        <v>115</v>
      </c>
      <c r="G37" s="1" t="s">
        <v>33</v>
      </c>
      <c r="H37" s="3">
        <v>3</v>
      </c>
      <c r="I37" s="1">
        <v>79.989999999999995</v>
      </c>
      <c r="J37" s="1" t="s">
        <v>20</v>
      </c>
      <c r="K37" s="1" t="s">
        <v>35</v>
      </c>
      <c r="L37" s="1" t="s">
        <v>22</v>
      </c>
      <c r="M37" s="2">
        <v>45046</v>
      </c>
      <c r="N37" s="45">
        <f t="shared" si="0"/>
        <v>239.96999999999997</v>
      </c>
    </row>
    <row r="38" spans="1:14" ht="18.600000000000001" customHeight="1" thickBot="1" x14ac:dyDescent="0.35">
      <c r="A38" s="44" t="s">
        <v>137</v>
      </c>
      <c r="B38" s="2">
        <v>45438</v>
      </c>
      <c r="C38" s="1" t="s">
        <v>138</v>
      </c>
      <c r="D38" s="1" t="s">
        <v>139</v>
      </c>
      <c r="E38" s="1" t="s">
        <v>126</v>
      </c>
      <c r="F38" s="1" t="s">
        <v>127</v>
      </c>
      <c r="G38" s="1" t="s">
        <v>46</v>
      </c>
      <c r="H38" s="3">
        <v>3</v>
      </c>
      <c r="I38" s="1">
        <v>199.99</v>
      </c>
      <c r="J38" s="1" t="s">
        <v>26</v>
      </c>
      <c r="K38" s="1" t="s">
        <v>40</v>
      </c>
      <c r="L38" s="1" t="s">
        <v>27</v>
      </c>
      <c r="M38" s="2">
        <v>45292</v>
      </c>
      <c r="N38" s="45">
        <f t="shared" si="0"/>
        <v>599.97</v>
      </c>
    </row>
    <row r="39" spans="1:14" ht="18.600000000000001" customHeight="1" thickBot="1" x14ac:dyDescent="0.35">
      <c r="A39" s="44" t="s">
        <v>140</v>
      </c>
      <c r="B39" s="2">
        <v>45440</v>
      </c>
      <c r="C39" s="1" t="s">
        <v>141</v>
      </c>
      <c r="D39" s="1" t="s">
        <v>142</v>
      </c>
      <c r="E39" s="1" t="s">
        <v>80</v>
      </c>
      <c r="F39" s="1" t="s">
        <v>81</v>
      </c>
      <c r="G39" s="1" t="s">
        <v>19</v>
      </c>
      <c r="H39" s="3">
        <v>5</v>
      </c>
      <c r="I39" s="1">
        <v>699.99</v>
      </c>
      <c r="J39" s="1" t="s">
        <v>34</v>
      </c>
      <c r="K39" s="1" t="s">
        <v>50</v>
      </c>
      <c r="L39" s="1" t="s">
        <v>36</v>
      </c>
      <c r="M39" s="2">
        <v>44407</v>
      </c>
      <c r="N39" s="45">
        <f t="shared" si="0"/>
        <v>3499.95</v>
      </c>
    </row>
    <row r="40" spans="1:14" ht="18.600000000000001" customHeight="1" thickBot="1" x14ac:dyDescent="0.35">
      <c r="A40" s="44" t="s">
        <v>143</v>
      </c>
      <c r="B40" s="2">
        <v>45441</v>
      </c>
      <c r="C40" s="1" t="s">
        <v>144</v>
      </c>
      <c r="D40" s="1" t="s">
        <v>145</v>
      </c>
      <c r="E40" s="1" t="s">
        <v>117</v>
      </c>
      <c r="F40" s="1" t="s">
        <v>118</v>
      </c>
      <c r="G40" s="1" t="s">
        <v>19</v>
      </c>
      <c r="H40" s="3">
        <v>3</v>
      </c>
      <c r="I40" s="1">
        <v>89.99</v>
      </c>
      <c r="J40" s="1" t="s">
        <v>34</v>
      </c>
      <c r="K40" s="1" t="s">
        <v>21</v>
      </c>
      <c r="L40" s="1" t="s">
        <v>27</v>
      </c>
      <c r="M40" s="2">
        <v>45120</v>
      </c>
      <c r="N40" s="45">
        <f t="shared" si="0"/>
        <v>269.96999999999997</v>
      </c>
    </row>
    <row r="41" spans="1:14" ht="18.600000000000001" customHeight="1" thickBot="1" x14ac:dyDescent="0.35">
      <c r="A41" s="44" t="s">
        <v>146</v>
      </c>
      <c r="B41" s="2">
        <v>45443</v>
      </c>
      <c r="C41" s="1" t="s">
        <v>147</v>
      </c>
      <c r="D41" s="1" t="s">
        <v>148</v>
      </c>
      <c r="E41" s="1" t="s">
        <v>114</v>
      </c>
      <c r="F41" s="1" t="s">
        <v>115</v>
      </c>
      <c r="G41" s="1" t="s">
        <v>33</v>
      </c>
      <c r="H41" s="3">
        <v>1</v>
      </c>
      <c r="I41" s="1">
        <v>79.989999999999995</v>
      </c>
      <c r="J41" s="1" t="s">
        <v>20</v>
      </c>
      <c r="K41" s="1" t="s">
        <v>40</v>
      </c>
      <c r="L41" s="1" t="s">
        <v>36</v>
      </c>
      <c r="M41" s="2">
        <v>44917</v>
      </c>
      <c r="N41" s="45">
        <f t="shared" si="0"/>
        <v>79.989999999999995</v>
      </c>
    </row>
    <row r="42" spans="1:14" ht="18.600000000000001" customHeight="1" thickBot="1" x14ac:dyDescent="0.35">
      <c r="A42" s="44" t="s">
        <v>149</v>
      </c>
      <c r="B42" s="2">
        <v>45444</v>
      </c>
      <c r="C42" s="1" t="s">
        <v>150</v>
      </c>
      <c r="D42" s="1" t="s">
        <v>151</v>
      </c>
      <c r="E42" s="1" t="s">
        <v>31</v>
      </c>
      <c r="F42" s="1" t="s">
        <v>32</v>
      </c>
      <c r="G42" s="1" t="s">
        <v>33</v>
      </c>
      <c r="H42" s="3">
        <v>2</v>
      </c>
      <c r="I42" s="1">
        <v>59.99</v>
      </c>
      <c r="J42" s="1" t="s">
        <v>20</v>
      </c>
      <c r="K42" s="1" t="s">
        <v>50</v>
      </c>
      <c r="L42" s="1" t="s">
        <v>22</v>
      </c>
      <c r="M42" s="2">
        <v>45390</v>
      </c>
      <c r="N42" s="45">
        <f t="shared" si="0"/>
        <v>119.98</v>
      </c>
    </row>
    <row r="43" spans="1:14" ht="18.600000000000001" customHeight="1" thickBot="1" x14ac:dyDescent="0.35">
      <c r="A43" s="44" t="s">
        <v>152</v>
      </c>
      <c r="B43" s="2">
        <v>45444</v>
      </c>
      <c r="C43" s="1" t="s">
        <v>55</v>
      </c>
      <c r="D43" s="1" t="s">
        <v>56</v>
      </c>
      <c r="E43" s="1" t="s">
        <v>117</v>
      </c>
      <c r="F43" s="1" t="s">
        <v>118</v>
      </c>
      <c r="G43" s="1" t="s">
        <v>19</v>
      </c>
      <c r="H43" s="3">
        <v>1</v>
      </c>
      <c r="I43" s="1">
        <v>89.99</v>
      </c>
      <c r="J43" s="1" t="s">
        <v>20</v>
      </c>
      <c r="K43" s="1" t="s">
        <v>40</v>
      </c>
      <c r="L43" s="1" t="s">
        <v>22</v>
      </c>
      <c r="M43" s="2">
        <v>45141</v>
      </c>
      <c r="N43" s="45">
        <f t="shared" si="0"/>
        <v>89.99</v>
      </c>
    </row>
    <row r="44" spans="1:14" ht="18.600000000000001" customHeight="1" thickBot="1" x14ac:dyDescent="0.35">
      <c r="A44" s="44" t="s">
        <v>153</v>
      </c>
      <c r="B44" s="2">
        <v>45446</v>
      </c>
      <c r="C44" s="1" t="s">
        <v>154</v>
      </c>
      <c r="D44" s="1" t="s">
        <v>155</v>
      </c>
      <c r="E44" s="1" t="s">
        <v>117</v>
      </c>
      <c r="F44" s="1" t="s">
        <v>118</v>
      </c>
      <c r="G44" s="1" t="s">
        <v>19</v>
      </c>
      <c r="H44" s="3">
        <v>5</v>
      </c>
      <c r="I44" s="1">
        <v>89.99</v>
      </c>
      <c r="J44" s="1" t="s">
        <v>26</v>
      </c>
      <c r="K44" s="1" t="s">
        <v>63</v>
      </c>
      <c r="L44" s="1" t="s">
        <v>36</v>
      </c>
      <c r="M44" s="2">
        <v>44587</v>
      </c>
      <c r="N44" s="45">
        <f t="shared" si="0"/>
        <v>449.95</v>
      </c>
    </row>
    <row r="45" spans="1:14" ht="18.600000000000001" customHeight="1" thickBot="1" x14ac:dyDescent="0.35">
      <c r="A45" s="44" t="s">
        <v>156</v>
      </c>
      <c r="B45" s="2">
        <v>45449</v>
      </c>
      <c r="C45" s="1" t="s">
        <v>24</v>
      </c>
      <c r="D45" s="1" t="s">
        <v>25</v>
      </c>
      <c r="E45" s="1" t="s">
        <v>17</v>
      </c>
      <c r="F45" s="1" t="s">
        <v>18</v>
      </c>
      <c r="G45" s="1" t="s">
        <v>19</v>
      </c>
      <c r="H45" s="3">
        <v>5</v>
      </c>
      <c r="I45" s="1">
        <v>249.99</v>
      </c>
      <c r="J45" s="1" t="s">
        <v>26</v>
      </c>
      <c r="K45" s="1" t="s">
        <v>63</v>
      </c>
      <c r="L45" s="1" t="s">
        <v>36</v>
      </c>
      <c r="M45" s="2">
        <v>44707</v>
      </c>
      <c r="N45" s="45">
        <f t="shared" si="0"/>
        <v>1249.95</v>
      </c>
    </row>
    <row r="46" spans="1:14" ht="18.600000000000001" customHeight="1" thickBot="1" x14ac:dyDescent="0.35">
      <c r="A46" s="44" t="s">
        <v>157</v>
      </c>
      <c r="B46" s="2">
        <v>45449</v>
      </c>
      <c r="C46" s="1" t="s">
        <v>158</v>
      </c>
      <c r="D46" s="1" t="s">
        <v>159</v>
      </c>
      <c r="E46" s="1" t="s">
        <v>117</v>
      </c>
      <c r="F46" s="1" t="s">
        <v>118</v>
      </c>
      <c r="G46" s="1" t="s">
        <v>19</v>
      </c>
      <c r="H46" s="3">
        <v>1</v>
      </c>
      <c r="I46" s="1">
        <v>89.99</v>
      </c>
      <c r="J46" s="1" t="s">
        <v>26</v>
      </c>
      <c r="K46" s="1" t="s">
        <v>35</v>
      </c>
      <c r="L46" s="1" t="s">
        <v>36</v>
      </c>
      <c r="M46" s="2">
        <v>44582</v>
      </c>
      <c r="N46" s="45">
        <f t="shared" si="0"/>
        <v>89.99</v>
      </c>
    </row>
    <row r="47" spans="1:14" ht="18.600000000000001" customHeight="1" thickBot="1" x14ac:dyDescent="0.35">
      <c r="A47" s="44" t="s">
        <v>160</v>
      </c>
      <c r="B47" s="2">
        <v>45450</v>
      </c>
      <c r="C47" s="1" t="s">
        <v>42</v>
      </c>
      <c r="D47" s="1" t="s">
        <v>43</v>
      </c>
      <c r="E47" s="1" t="s">
        <v>44</v>
      </c>
      <c r="F47" s="1" t="s">
        <v>45</v>
      </c>
      <c r="G47" s="1" t="s">
        <v>46</v>
      </c>
      <c r="H47" s="3">
        <v>2</v>
      </c>
      <c r="I47" s="1">
        <v>149.99</v>
      </c>
      <c r="J47" s="1" t="s">
        <v>20</v>
      </c>
      <c r="K47" s="1" t="s">
        <v>63</v>
      </c>
      <c r="L47" s="1" t="s">
        <v>27</v>
      </c>
      <c r="M47" s="2">
        <v>44645</v>
      </c>
      <c r="N47" s="45">
        <f t="shared" si="0"/>
        <v>299.98</v>
      </c>
    </row>
    <row r="48" spans="1:14" ht="18.600000000000001" customHeight="1" thickBot="1" x14ac:dyDescent="0.35">
      <c r="A48" s="44" t="s">
        <v>161</v>
      </c>
      <c r="B48" s="2">
        <v>45452</v>
      </c>
      <c r="C48" s="1" t="s">
        <v>162</v>
      </c>
      <c r="D48" s="1" t="s">
        <v>163</v>
      </c>
      <c r="E48" s="1" t="s">
        <v>31</v>
      </c>
      <c r="F48" s="1" t="s">
        <v>32</v>
      </c>
      <c r="G48" s="1" t="s">
        <v>33</v>
      </c>
      <c r="H48" s="3">
        <v>4</v>
      </c>
      <c r="I48" s="1">
        <v>59.99</v>
      </c>
      <c r="J48" s="1" t="s">
        <v>20</v>
      </c>
      <c r="K48" s="1" t="s">
        <v>63</v>
      </c>
      <c r="L48" s="1" t="s">
        <v>36</v>
      </c>
      <c r="M48" s="2">
        <v>44435</v>
      </c>
      <c r="N48" s="45">
        <f t="shared" si="0"/>
        <v>239.96</v>
      </c>
    </row>
    <row r="49" spans="1:14" ht="18.600000000000001" customHeight="1" thickBot="1" x14ac:dyDescent="0.35">
      <c r="A49" s="44" t="s">
        <v>164</v>
      </c>
      <c r="B49" s="2">
        <v>45456</v>
      </c>
      <c r="C49" s="1" t="s">
        <v>129</v>
      </c>
      <c r="D49" s="1" t="s">
        <v>130</v>
      </c>
      <c r="E49" s="1" t="s">
        <v>117</v>
      </c>
      <c r="F49" s="1" t="s">
        <v>118</v>
      </c>
      <c r="G49" s="1" t="s">
        <v>19</v>
      </c>
      <c r="H49" s="3">
        <v>5</v>
      </c>
      <c r="I49" s="1">
        <v>89.99</v>
      </c>
      <c r="J49" s="1" t="s">
        <v>20</v>
      </c>
      <c r="K49" s="1" t="s">
        <v>21</v>
      </c>
      <c r="L49" s="1" t="s">
        <v>27</v>
      </c>
      <c r="M49" s="2">
        <v>44579</v>
      </c>
      <c r="N49" s="45">
        <f t="shared" si="0"/>
        <v>449.95</v>
      </c>
    </row>
    <row r="50" spans="1:14" ht="18.600000000000001" customHeight="1" thickBot="1" x14ac:dyDescent="0.35">
      <c r="A50" s="44" t="s">
        <v>165</v>
      </c>
      <c r="B50" s="2">
        <v>45459</v>
      </c>
      <c r="C50" s="1" t="s">
        <v>99</v>
      </c>
      <c r="D50" s="1" t="s">
        <v>100</v>
      </c>
      <c r="E50" s="1" t="s">
        <v>117</v>
      </c>
      <c r="F50" s="1" t="s">
        <v>118</v>
      </c>
      <c r="G50" s="1" t="s">
        <v>19</v>
      </c>
      <c r="H50" s="3">
        <v>2</v>
      </c>
      <c r="I50" s="1">
        <v>89.99</v>
      </c>
      <c r="J50" s="1" t="s">
        <v>26</v>
      </c>
      <c r="K50" s="1" t="s">
        <v>35</v>
      </c>
      <c r="L50" s="1" t="s">
        <v>27</v>
      </c>
      <c r="M50" s="2">
        <v>44471</v>
      </c>
      <c r="N50" s="45">
        <f t="shared" si="0"/>
        <v>179.98</v>
      </c>
    </row>
    <row r="51" spans="1:14" ht="18.600000000000001" customHeight="1" thickBot="1" x14ac:dyDescent="0.35">
      <c r="A51" s="44" t="s">
        <v>166</v>
      </c>
      <c r="B51" s="2">
        <v>45459</v>
      </c>
      <c r="C51" s="1" t="s">
        <v>15</v>
      </c>
      <c r="D51" s="1" t="s">
        <v>16</v>
      </c>
      <c r="E51" s="1" t="s">
        <v>61</v>
      </c>
      <c r="F51" s="1" t="s">
        <v>62</v>
      </c>
      <c r="G51" s="1" t="s">
        <v>19</v>
      </c>
      <c r="H51" s="3">
        <v>5</v>
      </c>
      <c r="I51" s="1">
        <v>899.99</v>
      </c>
      <c r="J51" s="1" t="s">
        <v>26</v>
      </c>
      <c r="K51" s="1" t="s">
        <v>35</v>
      </c>
      <c r="L51" s="1" t="s">
        <v>36</v>
      </c>
      <c r="M51" s="2">
        <v>44974</v>
      </c>
      <c r="N51" s="45">
        <f t="shared" si="0"/>
        <v>4499.95</v>
      </c>
    </row>
    <row r="52" spans="1:14" ht="18.600000000000001" customHeight="1" thickBot="1" x14ac:dyDescent="0.35">
      <c r="A52" s="44" t="s">
        <v>167</v>
      </c>
      <c r="B52" s="2">
        <v>45459</v>
      </c>
      <c r="C52" s="1" t="s">
        <v>123</v>
      </c>
      <c r="D52" s="1" t="s">
        <v>124</v>
      </c>
      <c r="E52" s="1" t="s">
        <v>61</v>
      </c>
      <c r="F52" s="1" t="s">
        <v>62</v>
      </c>
      <c r="G52" s="1" t="s">
        <v>19</v>
      </c>
      <c r="H52" s="3">
        <v>5</v>
      </c>
      <c r="I52" s="1">
        <v>899.99</v>
      </c>
      <c r="J52" s="1" t="s">
        <v>34</v>
      </c>
      <c r="K52" s="1" t="s">
        <v>63</v>
      </c>
      <c r="L52" s="1" t="s">
        <v>27</v>
      </c>
      <c r="M52" s="2">
        <v>45278</v>
      </c>
      <c r="N52" s="45">
        <f t="shared" si="0"/>
        <v>4499.95</v>
      </c>
    </row>
    <row r="53" spans="1:14" ht="18.600000000000001" customHeight="1" thickBot="1" x14ac:dyDescent="0.35">
      <c r="A53" s="44" t="s">
        <v>168</v>
      </c>
      <c r="B53" s="2">
        <v>45460</v>
      </c>
      <c r="C53" s="1" t="s">
        <v>158</v>
      </c>
      <c r="D53" s="1" t="s">
        <v>159</v>
      </c>
      <c r="E53" s="1" t="s">
        <v>31</v>
      </c>
      <c r="F53" s="1" t="s">
        <v>32</v>
      </c>
      <c r="G53" s="1" t="s">
        <v>33</v>
      </c>
      <c r="H53" s="3">
        <v>1</v>
      </c>
      <c r="I53" s="1">
        <v>59.99</v>
      </c>
      <c r="J53" s="1" t="s">
        <v>57</v>
      </c>
      <c r="K53" s="1" t="s">
        <v>50</v>
      </c>
      <c r="L53" s="1" t="s">
        <v>27</v>
      </c>
      <c r="M53" s="2">
        <v>45190</v>
      </c>
      <c r="N53" s="45">
        <f t="shared" si="0"/>
        <v>59.99</v>
      </c>
    </row>
    <row r="54" spans="1:14" ht="18.600000000000001" customHeight="1" thickBot="1" x14ac:dyDescent="0.35">
      <c r="A54" s="44" t="s">
        <v>169</v>
      </c>
      <c r="B54" s="2">
        <v>45460</v>
      </c>
      <c r="C54" s="1" t="s">
        <v>141</v>
      </c>
      <c r="D54" s="1" t="s">
        <v>142</v>
      </c>
      <c r="E54" s="1" t="s">
        <v>105</v>
      </c>
      <c r="F54" s="1" t="s">
        <v>106</v>
      </c>
      <c r="G54" s="1" t="s">
        <v>46</v>
      </c>
      <c r="H54" s="3">
        <v>2</v>
      </c>
      <c r="I54" s="1">
        <v>299.99</v>
      </c>
      <c r="J54" s="1" t="s">
        <v>57</v>
      </c>
      <c r="K54" s="1" t="s">
        <v>63</v>
      </c>
      <c r="L54" s="1" t="s">
        <v>36</v>
      </c>
      <c r="M54" s="2">
        <v>45253</v>
      </c>
      <c r="N54" s="45">
        <f t="shared" si="0"/>
        <v>599.98</v>
      </c>
    </row>
    <row r="55" spans="1:14" ht="18.600000000000001" customHeight="1" thickBot="1" x14ac:dyDescent="0.35">
      <c r="A55" s="44" t="s">
        <v>170</v>
      </c>
      <c r="B55" s="2">
        <v>45468</v>
      </c>
      <c r="C55" s="1" t="s">
        <v>171</v>
      </c>
      <c r="D55" s="1" t="s">
        <v>172</v>
      </c>
      <c r="E55" s="1" t="s">
        <v>117</v>
      </c>
      <c r="F55" s="1" t="s">
        <v>118</v>
      </c>
      <c r="G55" s="1" t="s">
        <v>19</v>
      </c>
      <c r="H55" s="3">
        <v>4</v>
      </c>
      <c r="I55" s="1">
        <v>89.99</v>
      </c>
      <c r="J55" s="1" t="s">
        <v>57</v>
      </c>
      <c r="K55" s="1" t="s">
        <v>35</v>
      </c>
      <c r="L55" s="1" t="s">
        <v>22</v>
      </c>
      <c r="M55" s="2">
        <v>45281</v>
      </c>
      <c r="N55" s="45">
        <f t="shared" si="0"/>
        <v>359.96</v>
      </c>
    </row>
    <row r="56" spans="1:14" ht="18.600000000000001" customHeight="1" thickBot="1" x14ac:dyDescent="0.35">
      <c r="A56" s="44" t="s">
        <v>173</v>
      </c>
      <c r="B56" s="2">
        <v>45469</v>
      </c>
      <c r="C56" s="1" t="s">
        <v>29</v>
      </c>
      <c r="D56" s="1" t="s">
        <v>30</v>
      </c>
      <c r="E56" s="1" t="s">
        <v>114</v>
      </c>
      <c r="F56" s="1" t="s">
        <v>115</v>
      </c>
      <c r="G56" s="1" t="s">
        <v>33</v>
      </c>
      <c r="H56" s="3">
        <v>1</v>
      </c>
      <c r="I56" s="1">
        <v>79.989999999999995</v>
      </c>
      <c r="J56" s="1" t="s">
        <v>34</v>
      </c>
      <c r="K56" s="1" t="s">
        <v>21</v>
      </c>
      <c r="L56" s="1" t="s">
        <v>27</v>
      </c>
      <c r="M56" s="2">
        <v>45352</v>
      </c>
      <c r="N56" s="45">
        <f t="shared" si="0"/>
        <v>79.989999999999995</v>
      </c>
    </row>
    <row r="57" spans="1:14" ht="18.600000000000001" customHeight="1" thickBot="1" x14ac:dyDescent="0.35">
      <c r="A57" s="44" t="s">
        <v>174</v>
      </c>
      <c r="B57" s="2">
        <v>45469</v>
      </c>
      <c r="C57" s="1" t="s">
        <v>59</v>
      </c>
      <c r="D57" s="1" t="s">
        <v>60</v>
      </c>
      <c r="E57" s="1" t="s">
        <v>117</v>
      </c>
      <c r="F57" s="1" t="s">
        <v>118</v>
      </c>
      <c r="G57" s="1" t="s">
        <v>19</v>
      </c>
      <c r="H57" s="3">
        <v>2</v>
      </c>
      <c r="I57" s="1">
        <v>89.99</v>
      </c>
      <c r="J57" s="1" t="s">
        <v>20</v>
      </c>
      <c r="K57" s="1" t="s">
        <v>50</v>
      </c>
      <c r="L57" s="1" t="s">
        <v>22</v>
      </c>
      <c r="M57" s="2">
        <v>44438</v>
      </c>
      <c r="N57" s="45">
        <f t="shared" si="0"/>
        <v>179.98</v>
      </c>
    </row>
    <row r="58" spans="1:14" ht="18.600000000000001" customHeight="1" thickBot="1" x14ac:dyDescent="0.35">
      <c r="A58" s="44" t="s">
        <v>175</v>
      </c>
      <c r="B58" s="2">
        <v>45471</v>
      </c>
      <c r="C58" s="1" t="s">
        <v>38</v>
      </c>
      <c r="D58" s="1" t="s">
        <v>39</v>
      </c>
      <c r="E58" s="1" t="s">
        <v>80</v>
      </c>
      <c r="F58" s="1" t="s">
        <v>81</v>
      </c>
      <c r="G58" s="1" t="s">
        <v>19</v>
      </c>
      <c r="H58" s="3">
        <v>3</v>
      </c>
      <c r="I58" s="1">
        <v>699.99</v>
      </c>
      <c r="J58" s="1" t="s">
        <v>26</v>
      </c>
      <c r="K58" s="1" t="s">
        <v>63</v>
      </c>
      <c r="L58" s="1" t="s">
        <v>27</v>
      </c>
      <c r="M58" s="2">
        <v>45102</v>
      </c>
      <c r="N58" s="45">
        <f t="shared" si="0"/>
        <v>2099.9700000000003</v>
      </c>
    </row>
    <row r="59" spans="1:14" ht="18.600000000000001" customHeight="1" thickBot="1" x14ac:dyDescent="0.35">
      <c r="A59" s="44" t="s">
        <v>176</v>
      </c>
      <c r="B59" s="2">
        <v>45471</v>
      </c>
      <c r="C59" s="1" t="s">
        <v>99</v>
      </c>
      <c r="D59" s="1" t="s">
        <v>100</v>
      </c>
      <c r="E59" s="1" t="s">
        <v>61</v>
      </c>
      <c r="F59" s="1" t="s">
        <v>62</v>
      </c>
      <c r="G59" s="1" t="s">
        <v>19</v>
      </c>
      <c r="H59" s="3">
        <v>4</v>
      </c>
      <c r="I59" s="1">
        <v>899.99</v>
      </c>
      <c r="J59" s="1" t="s">
        <v>26</v>
      </c>
      <c r="K59" s="1" t="s">
        <v>63</v>
      </c>
      <c r="L59" s="1" t="s">
        <v>27</v>
      </c>
      <c r="M59" s="2">
        <v>44993</v>
      </c>
      <c r="N59" s="45">
        <f t="shared" si="0"/>
        <v>3599.96</v>
      </c>
    </row>
    <row r="60" spans="1:14" ht="18.600000000000001" customHeight="1" thickBot="1" x14ac:dyDescent="0.35">
      <c r="A60" s="44" t="s">
        <v>177</v>
      </c>
      <c r="B60" s="2">
        <v>45472</v>
      </c>
      <c r="C60" s="1" t="s">
        <v>120</v>
      </c>
      <c r="D60" s="1" t="s">
        <v>121</v>
      </c>
      <c r="E60" s="1" t="s">
        <v>44</v>
      </c>
      <c r="F60" s="1" t="s">
        <v>45</v>
      </c>
      <c r="G60" s="1" t="s">
        <v>46</v>
      </c>
      <c r="H60" s="3">
        <v>1</v>
      </c>
      <c r="I60" s="1">
        <v>149.99</v>
      </c>
      <c r="J60" s="1" t="s">
        <v>34</v>
      </c>
      <c r="K60" s="1" t="s">
        <v>63</v>
      </c>
      <c r="L60" s="1" t="s">
        <v>22</v>
      </c>
      <c r="M60" s="2">
        <v>44851</v>
      </c>
      <c r="N60" s="45">
        <f t="shared" si="0"/>
        <v>149.99</v>
      </c>
    </row>
    <row r="61" spans="1:14" ht="18.600000000000001" customHeight="1" thickBot="1" x14ac:dyDescent="0.35">
      <c r="A61" s="44" t="s">
        <v>178</v>
      </c>
      <c r="B61" s="2">
        <v>45474</v>
      </c>
      <c r="C61" s="1" t="s">
        <v>132</v>
      </c>
      <c r="D61" s="1" t="s">
        <v>133</v>
      </c>
      <c r="E61" s="1" t="s">
        <v>117</v>
      </c>
      <c r="F61" s="1" t="s">
        <v>118</v>
      </c>
      <c r="G61" s="1" t="s">
        <v>19</v>
      </c>
      <c r="H61" s="3">
        <v>2</v>
      </c>
      <c r="I61" s="1">
        <v>89.99</v>
      </c>
      <c r="J61" s="1" t="s">
        <v>34</v>
      </c>
      <c r="K61" s="1" t="s">
        <v>21</v>
      </c>
      <c r="L61" s="1" t="s">
        <v>27</v>
      </c>
      <c r="M61" s="2">
        <v>45275</v>
      </c>
      <c r="N61" s="45">
        <f t="shared" si="0"/>
        <v>179.98</v>
      </c>
    </row>
    <row r="62" spans="1:14" ht="18.600000000000001" customHeight="1" thickBot="1" x14ac:dyDescent="0.35">
      <c r="A62" s="44" t="s">
        <v>179</v>
      </c>
      <c r="B62" s="2">
        <v>45475</v>
      </c>
      <c r="C62" s="1" t="s">
        <v>55</v>
      </c>
      <c r="D62" s="1" t="s">
        <v>56</v>
      </c>
      <c r="E62" s="1" t="s">
        <v>117</v>
      </c>
      <c r="F62" s="1" t="s">
        <v>118</v>
      </c>
      <c r="G62" s="1" t="s">
        <v>19</v>
      </c>
      <c r="H62" s="3">
        <v>1</v>
      </c>
      <c r="I62" s="1">
        <v>89.99</v>
      </c>
      <c r="J62" s="1" t="s">
        <v>34</v>
      </c>
      <c r="K62" s="1" t="s">
        <v>50</v>
      </c>
      <c r="L62" s="1" t="s">
        <v>36</v>
      </c>
      <c r="M62" s="2">
        <v>44802</v>
      </c>
      <c r="N62" s="45">
        <f t="shared" si="0"/>
        <v>89.99</v>
      </c>
    </row>
    <row r="63" spans="1:14" ht="18.600000000000001" customHeight="1" thickBot="1" x14ac:dyDescent="0.35">
      <c r="A63" s="44" t="s">
        <v>180</v>
      </c>
      <c r="B63" s="2">
        <v>45476</v>
      </c>
      <c r="C63" s="1" t="s">
        <v>68</v>
      </c>
      <c r="D63" s="1" t="s">
        <v>69</v>
      </c>
      <c r="E63" s="1" t="s">
        <v>117</v>
      </c>
      <c r="F63" s="1" t="s">
        <v>118</v>
      </c>
      <c r="G63" s="1" t="s">
        <v>19</v>
      </c>
      <c r="H63" s="3">
        <v>1</v>
      </c>
      <c r="I63" s="1">
        <v>89.99</v>
      </c>
      <c r="J63" s="1" t="s">
        <v>20</v>
      </c>
      <c r="K63" s="1" t="s">
        <v>35</v>
      </c>
      <c r="L63" s="1" t="s">
        <v>36</v>
      </c>
      <c r="M63" s="2">
        <v>44611</v>
      </c>
      <c r="N63" s="45">
        <f t="shared" si="0"/>
        <v>89.99</v>
      </c>
    </row>
    <row r="64" spans="1:14" ht="18.600000000000001" customHeight="1" thickBot="1" x14ac:dyDescent="0.35">
      <c r="A64" s="44" t="s">
        <v>181</v>
      </c>
      <c r="B64" s="2">
        <v>45476</v>
      </c>
      <c r="C64" s="1" t="s">
        <v>182</v>
      </c>
      <c r="D64" s="1" t="s">
        <v>183</v>
      </c>
      <c r="E64" s="1" t="s">
        <v>114</v>
      </c>
      <c r="F64" s="1" t="s">
        <v>115</v>
      </c>
      <c r="G64" s="1" t="s">
        <v>33</v>
      </c>
      <c r="H64" s="3">
        <v>5</v>
      </c>
      <c r="I64" s="1">
        <v>79.989999999999995</v>
      </c>
      <c r="J64" s="1" t="s">
        <v>57</v>
      </c>
      <c r="K64" s="1" t="s">
        <v>21</v>
      </c>
      <c r="L64" s="1" t="s">
        <v>22</v>
      </c>
      <c r="M64" s="2">
        <v>44981</v>
      </c>
      <c r="N64" s="45">
        <f t="shared" si="0"/>
        <v>399.95</v>
      </c>
    </row>
    <row r="65" spans="1:14" ht="18.600000000000001" customHeight="1" thickBot="1" x14ac:dyDescent="0.35">
      <c r="A65" s="44" t="s">
        <v>184</v>
      </c>
      <c r="B65" s="2">
        <v>45481</v>
      </c>
      <c r="C65" s="1" t="s">
        <v>185</v>
      </c>
      <c r="D65" s="1" t="s">
        <v>186</v>
      </c>
      <c r="E65" s="1" t="s">
        <v>44</v>
      </c>
      <c r="F65" s="1" t="s">
        <v>45</v>
      </c>
      <c r="G65" s="1" t="s">
        <v>46</v>
      </c>
      <c r="H65" s="3">
        <v>1</v>
      </c>
      <c r="I65" s="1">
        <v>149.99</v>
      </c>
      <c r="J65" s="1" t="s">
        <v>34</v>
      </c>
      <c r="K65" s="1" t="s">
        <v>40</v>
      </c>
      <c r="L65" s="1" t="s">
        <v>22</v>
      </c>
      <c r="M65" s="2">
        <v>44421</v>
      </c>
      <c r="N65" s="45">
        <f t="shared" si="0"/>
        <v>149.99</v>
      </c>
    </row>
    <row r="66" spans="1:14" ht="18.600000000000001" customHeight="1" thickBot="1" x14ac:dyDescent="0.35">
      <c r="A66" s="44" t="s">
        <v>187</v>
      </c>
      <c r="B66" s="2">
        <v>45481</v>
      </c>
      <c r="C66" s="1" t="s">
        <v>42</v>
      </c>
      <c r="D66" s="1" t="s">
        <v>43</v>
      </c>
      <c r="E66" s="1" t="s">
        <v>80</v>
      </c>
      <c r="F66" s="1" t="s">
        <v>81</v>
      </c>
      <c r="G66" s="1" t="s">
        <v>19</v>
      </c>
      <c r="H66" s="3">
        <v>2</v>
      </c>
      <c r="I66" s="1">
        <v>699.99</v>
      </c>
      <c r="J66" s="1" t="s">
        <v>34</v>
      </c>
      <c r="K66" s="1" t="s">
        <v>63</v>
      </c>
      <c r="L66" s="1" t="s">
        <v>27</v>
      </c>
      <c r="M66" s="2">
        <v>45389</v>
      </c>
      <c r="N66" s="45">
        <f t="shared" si="0"/>
        <v>1399.98</v>
      </c>
    </row>
    <row r="67" spans="1:14" ht="18.600000000000001" customHeight="1" thickBot="1" x14ac:dyDescent="0.35">
      <c r="A67" s="44" t="s">
        <v>188</v>
      </c>
      <c r="B67" s="2">
        <v>45481</v>
      </c>
      <c r="C67" s="1" t="s">
        <v>96</v>
      </c>
      <c r="D67" s="1" t="s">
        <v>97</v>
      </c>
      <c r="E67" s="1" t="s">
        <v>117</v>
      </c>
      <c r="F67" s="1" t="s">
        <v>118</v>
      </c>
      <c r="G67" s="1" t="s">
        <v>19</v>
      </c>
      <c r="H67" s="3">
        <v>5</v>
      </c>
      <c r="I67" s="1">
        <v>89.99</v>
      </c>
      <c r="J67" s="1" t="s">
        <v>57</v>
      </c>
      <c r="K67" s="1" t="s">
        <v>40</v>
      </c>
      <c r="L67" s="1" t="s">
        <v>27</v>
      </c>
      <c r="M67" s="2">
        <v>45161</v>
      </c>
      <c r="N67" s="45">
        <f t="shared" ref="N67:N130" si="1">H67*I67</f>
        <v>449.95</v>
      </c>
    </row>
    <row r="68" spans="1:14" ht="18.600000000000001" customHeight="1" thickBot="1" x14ac:dyDescent="0.35">
      <c r="A68" s="44" t="s">
        <v>189</v>
      </c>
      <c r="B68" s="2">
        <v>45482</v>
      </c>
      <c r="C68" s="1" t="s">
        <v>171</v>
      </c>
      <c r="D68" s="1" t="s">
        <v>172</v>
      </c>
      <c r="E68" s="1" t="s">
        <v>31</v>
      </c>
      <c r="F68" s="1" t="s">
        <v>32</v>
      </c>
      <c r="G68" s="1" t="s">
        <v>33</v>
      </c>
      <c r="H68" s="3">
        <v>4</v>
      </c>
      <c r="I68" s="1">
        <v>59.99</v>
      </c>
      <c r="J68" s="1" t="s">
        <v>20</v>
      </c>
      <c r="K68" s="1" t="s">
        <v>35</v>
      </c>
      <c r="L68" s="1" t="s">
        <v>36</v>
      </c>
      <c r="M68" s="2">
        <v>44509</v>
      </c>
      <c r="N68" s="45">
        <f t="shared" si="1"/>
        <v>239.96</v>
      </c>
    </row>
    <row r="69" spans="1:14" ht="18.600000000000001" customHeight="1" thickBot="1" x14ac:dyDescent="0.35">
      <c r="A69" s="44" t="s">
        <v>190</v>
      </c>
      <c r="B69" s="2">
        <v>45484</v>
      </c>
      <c r="C69" s="1" t="s">
        <v>24</v>
      </c>
      <c r="D69" s="1" t="s">
        <v>25</v>
      </c>
      <c r="E69" s="1" t="s">
        <v>52</v>
      </c>
      <c r="F69" s="1" t="s">
        <v>53</v>
      </c>
      <c r="G69" s="1" t="s">
        <v>19</v>
      </c>
      <c r="H69" s="3">
        <v>1</v>
      </c>
      <c r="I69" s="1">
        <v>149.99</v>
      </c>
      <c r="J69" s="1" t="s">
        <v>20</v>
      </c>
      <c r="K69" s="1" t="s">
        <v>21</v>
      </c>
      <c r="L69" s="1" t="s">
        <v>36</v>
      </c>
      <c r="M69" s="2">
        <v>44909</v>
      </c>
      <c r="N69" s="45">
        <f t="shared" si="1"/>
        <v>149.99</v>
      </c>
    </row>
    <row r="70" spans="1:14" ht="18.600000000000001" customHeight="1" thickBot="1" x14ac:dyDescent="0.35">
      <c r="A70" s="44" t="s">
        <v>191</v>
      </c>
      <c r="B70" s="2">
        <v>45484</v>
      </c>
      <c r="C70" s="1" t="s">
        <v>192</v>
      </c>
      <c r="D70" s="1" t="s">
        <v>193</v>
      </c>
      <c r="E70" s="1" t="s">
        <v>105</v>
      </c>
      <c r="F70" s="1" t="s">
        <v>106</v>
      </c>
      <c r="G70" s="1" t="s">
        <v>46</v>
      </c>
      <c r="H70" s="3">
        <v>1</v>
      </c>
      <c r="I70" s="1">
        <v>299.99</v>
      </c>
      <c r="J70" s="1" t="s">
        <v>26</v>
      </c>
      <c r="K70" s="1" t="s">
        <v>40</v>
      </c>
      <c r="L70" s="1" t="s">
        <v>27</v>
      </c>
      <c r="M70" s="2">
        <v>44891</v>
      </c>
      <c r="N70" s="45">
        <f t="shared" si="1"/>
        <v>299.99</v>
      </c>
    </row>
    <row r="71" spans="1:14" ht="18.600000000000001" customHeight="1" thickBot="1" x14ac:dyDescent="0.35">
      <c r="A71" s="44" t="s">
        <v>194</v>
      </c>
      <c r="B71" s="2">
        <v>45487</v>
      </c>
      <c r="C71" s="1" t="s">
        <v>192</v>
      </c>
      <c r="D71" s="1" t="s">
        <v>193</v>
      </c>
      <c r="E71" s="1" t="s">
        <v>126</v>
      </c>
      <c r="F71" s="1" t="s">
        <v>127</v>
      </c>
      <c r="G71" s="1" t="s">
        <v>46</v>
      </c>
      <c r="H71" s="3">
        <v>2</v>
      </c>
      <c r="I71" s="1">
        <v>199.99</v>
      </c>
      <c r="J71" s="1" t="s">
        <v>20</v>
      </c>
      <c r="K71" s="1" t="s">
        <v>40</v>
      </c>
      <c r="L71" s="1" t="s">
        <v>22</v>
      </c>
      <c r="M71" s="2">
        <v>44541</v>
      </c>
      <c r="N71" s="45">
        <f t="shared" si="1"/>
        <v>399.98</v>
      </c>
    </row>
    <row r="72" spans="1:14" ht="18.600000000000001" customHeight="1" thickBot="1" x14ac:dyDescent="0.35">
      <c r="A72" s="44" t="s">
        <v>195</v>
      </c>
      <c r="B72" s="2">
        <v>45490</v>
      </c>
      <c r="C72" s="1" t="s">
        <v>196</v>
      </c>
      <c r="D72" s="1" t="s">
        <v>197</v>
      </c>
      <c r="E72" s="1" t="s">
        <v>31</v>
      </c>
      <c r="F72" s="1" t="s">
        <v>32</v>
      </c>
      <c r="G72" s="1" t="s">
        <v>33</v>
      </c>
      <c r="H72" s="3">
        <v>3</v>
      </c>
      <c r="I72" s="1">
        <v>59.99</v>
      </c>
      <c r="J72" s="1" t="s">
        <v>26</v>
      </c>
      <c r="K72" s="1" t="s">
        <v>50</v>
      </c>
      <c r="L72" s="1" t="s">
        <v>22</v>
      </c>
      <c r="M72" s="2">
        <v>45130</v>
      </c>
      <c r="N72" s="45">
        <f t="shared" si="1"/>
        <v>179.97</v>
      </c>
    </row>
    <row r="73" spans="1:14" ht="18.600000000000001" customHeight="1" thickBot="1" x14ac:dyDescent="0.35">
      <c r="A73" s="44" t="s">
        <v>198</v>
      </c>
      <c r="B73" s="2">
        <v>45490</v>
      </c>
      <c r="C73" s="1" t="s">
        <v>72</v>
      </c>
      <c r="D73" s="1" t="s">
        <v>73</v>
      </c>
      <c r="E73" s="1" t="s">
        <v>44</v>
      </c>
      <c r="F73" s="1" t="s">
        <v>45</v>
      </c>
      <c r="G73" s="1" t="s">
        <v>46</v>
      </c>
      <c r="H73" s="3">
        <v>3</v>
      </c>
      <c r="I73" s="1">
        <v>149.99</v>
      </c>
      <c r="J73" s="1" t="s">
        <v>20</v>
      </c>
      <c r="K73" s="1" t="s">
        <v>21</v>
      </c>
      <c r="L73" s="1" t="s">
        <v>27</v>
      </c>
      <c r="M73" s="2">
        <v>45199</v>
      </c>
      <c r="N73" s="45">
        <f t="shared" si="1"/>
        <v>449.97</v>
      </c>
    </row>
    <row r="74" spans="1:14" ht="18.600000000000001" customHeight="1" thickBot="1" x14ac:dyDescent="0.35">
      <c r="A74" s="44" t="s">
        <v>199</v>
      </c>
      <c r="B74" s="2">
        <v>45491</v>
      </c>
      <c r="C74" s="1" t="s">
        <v>65</v>
      </c>
      <c r="D74" s="1" t="s">
        <v>66</v>
      </c>
      <c r="E74" s="1" t="s">
        <v>126</v>
      </c>
      <c r="F74" s="1" t="s">
        <v>127</v>
      </c>
      <c r="G74" s="1" t="s">
        <v>46</v>
      </c>
      <c r="H74" s="3">
        <v>3</v>
      </c>
      <c r="I74" s="1">
        <v>199.99</v>
      </c>
      <c r="J74" s="1" t="s">
        <v>20</v>
      </c>
      <c r="K74" s="1" t="s">
        <v>40</v>
      </c>
      <c r="L74" s="1" t="s">
        <v>27</v>
      </c>
      <c r="M74" s="2">
        <v>45254</v>
      </c>
      <c r="N74" s="45">
        <f t="shared" si="1"/>
        <v>599.97</v>
      </c>
    </row>
    <row r="75" spans="1:14" ht="18.600000000000001" customHeight="1" thickBot="1" x14ac:dyDescent="0.35">
      <c r="A75" s="44" t="s">
        <v>200</v>
      </c>
      <c r="B75" s="2">
        <v>45496</v>
      </c>
      <c r="C75" s="1" t="s">
        <v>150</v>
      </c>
      <c r="D75" s="1" t="s">
        <v>151</v>
      </c>
      <c r="E75" s="1" t="s">
        <v>61</v>
      </c>
      <c r="F75" s="1" t="s">
        <v>62</v>
      </c>
      <c r="G75" s="1" t="s">
        <v>19</v>
      </c>
      <c r="H75" s="3">
        <v>1</v>
      </c>
      <c r="I75" s="1">
        <v>899.99</v>
      </c>
      <c r="J75" s="1" t="s">
        <v>20</v>
      </c>
      <c r="K75" s="1" t="s">
        <v>21</v>
      </c>
      <c r="L75" s="1" t="s">
        <v>36</v>
      </c>
      <c r="M75" s="2">
        <v>45179</v>
      </c>
      <c r="N75" s="45">
        <f t="shared" si="1"/>
        <v>899.99</v>
      </c>
    </row>
    <row r="76" spans="1:14" ht="18.600000000000001" customHeight="1" thickBot="1" x14ac:dyDescent="0.35">
      <c r="A76" s="44" t="s">
        <v>201</v>
      </c>
      <c r="B76" s="2">
        <v>45497</v>
      </c>
      <c r="C76" s="1" t="s">
        <v>24</v>
      </c>
      <c r="D76" s="1" t="s">
        <v>25</v>
      </c>
      <c r="E76" s="1" t="s">
        <v>61</v>
      </c>
      <c r="F76" s="1" t="s">
        <v>62</v>
      </c>
      <c r="G76" s="1" t="s">
        <v>19</v>
      </c>
      <c r="H76" s="3">
        <v>5</v>
      </c>
      <c r="I76" s="1">
        <v>899.99</v>
      </c>
      <c r="J76" s="1" t="s">
        <v>57</v>
      </c>
      <c r="K76" s="1" t="s">
        <v>35</v>
      </c>
      <c r="L76" s="1" t="s">
        <v>36</v>
      </c>
      <c r="M76" s="2">
        <v>44899</v>
      </c>
      <c r="N76" s="45">
        <f t="shared" si="1"/>
        <v>4499.95</v>
      </c>
    </row>
    <row r="77" spans="1:14" ht="18.600000000000001" customHeight="1" thickBot="1" x14ac:dyDescent="0.35">
      <c r="A77" s="44" t="s">
        <v>202</v>
      </c>
      <c r="B77" s="2">
        <v>45498</v>
      </c>
      <c r="C77" s="1" t="s">
        <v>182</v>
      </c>
      <c r="D77" s="1" t="s">
        <v>183</v>
      </c>
      <c r="E77" s="1" t="s">
        <v>31</v>
      </c>
      <c r="F77" s="1" t="s">
        <v>32</v>
      </c>
      <c r="G77" s="1" t="s">
        <v>33</v>
      </c>
      <c r="H77" s="3">
        <v>2</v>
      </c>
      <c r="I77" s="1">
        <v>59.99</v>
      </c>
      <c r="J77" s="1" t="s">
        <v>20</v>
      </c>
      <c r="K77" s="1" t="s">
        <v>40</v>
      </c>
      <c r="L77" s="1" t="s">
        <v>36</v>
      </c>
      <c r="M77" s="2">
        <v>45152</v>
      </c>
      <c r="N77" s="45">
        <f t="shared" si="1"/>
        <v>119.98</v>
      </c>
    </row>
    <row r="78" spans="1:14" ht="18.600000000000001" customHeight="1" thickBot="1" x14ac:dyDescent="0.35">
      <c r="A78" s="44" t="s">
        <v>203</v>
      </c>
      <c r="B78" s="2">
        <v>45498</v>
      </c>
      <c r="C78" s="1" t="s">
        <v>196</v>
      </c>
      <c r="D78" s="1" t="s">
        <v>197</v>
      </c>
      <c r="E78" s="1" t="s">
        <v>17</v>
      </c>
      <c r="F78" s="1" t="s">
        <v>18</v>
      </c>
      <c r="G78" s="1" t="s">
        <v>19</v>
      </c>
      <c r="H78" s="3">
        <v>4</v>
      </c>
      <c r="I78" s="1">
        <v>249.99</v>
      </c>
      <c r="J78" s="1" t="s">
        <v>57</v>
      </c>
      <c r="K78" s="1" t="s">
        <v>21</v>
      </c>
      <c r="L78" s="1" t="s">
        <v>36</v>
      </c>
      <c r="M78" s="2">
        <v>45127</v>
      </c>
      <c r="N78" s="45">
        <f t="shared" si="1"/>
        <v>999.96</v>
      </c>
    </row>
    <row r="79" spans="1:14" ht="18.600000000000001" customHeight="1" thickBot="1" x14ac:dyDescent="0.35">
      <c r="A79" s="44" t="s">
        <v>204</v>
      </c>
      <c r="B79" s="2">
        <v>45500</v>
      </c>
      <c r="C79" s="1" t="s">
        <v>96</v>
      </c>
      <c r="D79" s="1" t="s">
        <v>97</v>
      </c>
      <c r="E79" s="1" t="s">
        <v>17</v>
      </c>
      <c r="F79" s="1" t="s">
        <v>18</v>
      </c>
      <c r="G79" s="1" t="s">
        <v>19</v>
      </c>
      <c r="H79" s="3">
        <v>2</v>
      </c>
      <c r="I79" s="1">
        <v>249.99</v>
      </c>
      <c r="J79" s="1" t="s">
        <v>20</v>
      </c>
      <c r="K79" s="1" t="s">
        <v>40</v>
      </c>
      <c r="L79" s="1" t="s">
        <v>27</v>
      </c>
      <c r="M79" s="2">
        <v>45164</v>
      </c>
      <c r="N79" s="45">
        <f t="shared" si="1"/>
        <v>499.98</v>
      </c>
    </row>
    <row r="80" spans="1:14" ht="18.600000000000001" customHeight="1" thickBot="1" x14ac:dyDescent="0.35">
      <c r="A80" s="44" t="s">
        <v>205</v>
      </c>
      <c r="B80" s="2">
        <v>45500</v>
      </c>
      <c r="C80" s="1" t="s">
        <v>147</v>
      </c>
      <c r="D80" s="1" t="s">
        <v>148</v>
      </c>
      <c r="E80" s="1" t="s">
        <v>105</v>
      </c>
      <c r="F80" s="1" t="s">
        <v>106</v>
      </c>
      <c r="G80" s="1" t="s">
        <v>46</v>
      </c>
      <c r="H80" s="3">
        <v>1</v>
      </c>
      <c r="I80" s="1">
        <v>299.99</v>
      </c>
      <c r="J80" s="1" t="s">
        <v>20</v>
      </c>
      <c r="K80" s="1" t="s">
        <v>35</v>
      </c>
      <c r="L80" s="1" t="s">
        <v>22</v>
      </c>
      <c r="M80" s="2">
        <v>44982</v>
      </c>
      <c r="N80" s="45">
        <f t="shared" si="1"/>
        <v>299.99</v>
      </c>
    </row>
    <row r="81" spans="1:14" ht="18.600000000000001" customHeight="1" thickBot="1" x14ac:dyDescent="0.35">
      <c r="A81" s="44" t="s">
        <v>206</v>
      </c>
      <c r="B81" s="2">
        <v>45501</v>
      </c>
      <c r="C81" s="1" t="s">
        <v>86</v>
      </c>
      <c r="D81" s="1" t="s">
        <v>87</v>
      </c>
      <c r="E81" s="1" t="s">
        <v>117</v>
      </c>
      <c r="F81" s="1" t="s">
        <v>118</v>
      </c>
      <c r="G81" s="1" t="s">
        <v>19</v>
      </c>
      <c r="H81" s="3">
        <v>2</v>
      </c>
      <c r="I81" s="1">
        <v>89.99</v>
      </c>
      <c r="J81" s="1" t="s">
        <v>34</v>
      </c>
      <c r="K81" s="1" t="s">
        <v>35</v>
      </c>
      <c r="L81" s="1" t="s">
        <v>22</v>
      </c>
      <c r="M81" s="2">
        <v>44976</v>
      </c>
      <c r="N81" s="45">
        <f t="shared" si="1"/>
        <v>179.98</v>
      </c>
    </row>
    <row r="82" spans="1:14" ht="18.600000000000001" customHeight="1" thickBot="1" x14ac:dyDescent="0.35">
      <c r="A82" s="44" t="s">
        <v>207</v>
      </c>
      <c r="B82" s="2">
        <v>45501</v>
      </c>
      <c r="C82" s="1" t="s">
        <v>147</v>
      </c>
      <c r="D82" s="1" t="s">
        <v>148</v>
      </c>
      <c r="E82" s="1" t="s">
        <v>105</v>
      </c>
      <c r="F82" s="1" t="s">
        <v>106</v>
      </c>
      <c r="G82" s="1" t="s">
        <v>46</v>
      </c>
      <c r="H82" s="3">
        <v>3</v>
      </c>
      <c r="I82" s="1">
        <v>299.99</v>
      </c>
      <c r="J82" s="1" t="s">
        <v>20</v>
      </c>
      <c r="K82" s="1" t="s">
        <v>21</v>
      </c>
      <c r="L82" s="1" t="s">
        <v>22</v>
      </c>
      <c r="M82" s="2">
        <v>44732</v>
      </c>
      <c r="N82" s="45">
        <f t="shared" si="1"/>
        <v>899.97</v>
      </c>
    </row>
    <row r="83" spans="1:14" ht="18.600000000000001" customHeight="1" thickBot="1" x14ac:dyDescent="0.35">
      <c r="A83" s="44" t="s">
        <v>208</v>
      </c>
      <c r="B83" s="2">
        <v>45503</v>
      </c>
      <c r="C83" s="1" t="s">
        <v>86</v>
      </c>
      <c r="D83" s="1" t="s">
        <v>87</v>
      </c>
      <c r="E83" s="1" t="s">
        <v>80</v>
      </c>
      <c r="F83" s="1" t="s">
        <v>81</v>
      </c>
      <c r="G83" s="1" t="s">
        <v>19</v>
      </c>
      <c r="H83" s="3">
        <v>2</v>
      </c>
      <c r="I83" s="1">
        <v>699.99</v>
      </c>
      <c r="J83" s="1" t="s">
        <v>26</v>
      </c>
      <c r="K83" s="1" t="s">
        <v>40</v>
      </c>
      <c r="L83" s="1" t="s">
        <v>27</v>
      </c>
      <c r="M83" s="2">
        <v>44999</v>
      </c>
      <c r="N83" s="45">
        <f t="shared" si="1"/>
        <v>1399.98</v>
      </c>
    </row>
    <row r="84" spans="1:14" ht="18.600000000000001" customHeight="1" thickBot="1" x14ac:dyDescent="0.35">
      <c r="A84" s="44" t="s">
        <v>209</v>
      </c>
      <c r="B84" s="2">
        <v>45504</v>
      </c>
      <c r="C84" s="1" t="s">
        <v>120</v>
      </c>
      <c r="D84" s="1" t="s">
        <v>121</v>
      </c>
      <c r="E84" s="1" t="s">
        <v>61</v>
      </c>
      <c r="F84" s="1" t="s">
        <v>62</v>
      </c>
      <c r="G84" s="1" t="s">
        <v>19</v>
      </c>
      <c r="H84" s="3">
        <v>4</v>
      </c>
      <c r="I84" s="1">
        <v>899.99</v>
      </c>
      <c r="J84" s="1" t="s">
        <v>57</v>
      </c>
      <c r="K84" s="1" t="s">
        <v>35</v>
      </c>
      <c r="L84" s="1" t="s">
        <v>36</v>
      </c>
      <c r="M84" s="2">
        <v>44523</v>
      </c>
      <c r="N84" s="45">
        <f t="shared" si="1"/>
        <v>3599.96</v>
      </c>
    </row>
    <row r="85" spans="1:14" ht="18.600000000000001" customHeight="1" thickBot="1" x14ac:dyDescent="0.35">
      <c r="A85" s="44" t="s">
        <v>210</v>
      </c>
      <c r="B85" s="2">
        <v>45509</v>
      </c>
      <c r="C85" s="1" t="s">
        <v>211</v>
      </c>
      <c r="D85" s="1" t="s">
        <v>212</v>
      </c>
      <c r="E85" s="1" t="s">
        <v>44</v>
      </c>
      <c r="F85" s="1" t="s">
        <v>45</v>
      </c>
      <c r="G85" s="1" t="s">
        <v>46</v>
      </c>
      <c r="H85" s="3">
        <v>2</v>
      </c>
      <c r="I85" s="1">
        <v>149.99</v>
      </c>
      <c r="J85" s="1" t="s">
        <v>26</v>
      </c>
      <c r="K85" s="1" t="s">
        <v>50</v>
      </c>
      <c r="L85" s="1" t="s">
        <v>22</v>
      </c>
      <c r="M85" s="2">
        <v>44542</v>
      </c>
      <c r="N85" s="45">
        <f t="shared" si="1"/>
        <v>299.98</v>
      </c>
    </row>
    <row r="86" spans="1:14" ht="18.600000000000001" customHeight="1" thickBot="1" x14ac:dyDescent="0.35">
      <c r="A86" s="44" t="s">
        <v>213</v>
      </c>
      <c r="B86" s="2">
        <v>45510</v>
      </c>
      <c r="C86" s="1" t="s">
        <v>102</v>
      </c>
      <c r="D86" s="1" t="s">
        <v>103</v>
      </c>
      <c r="E86" s="1" t="s">
        <v>44</v>
      </c>
      <c r="F86" s="1" t="s">
        <v>45</v>
      </c>
      <c r="G86" s="1" t="s">
        <v>46</v>
      </c>
      <c r="H86" s="3">
        <v>2</v>
      </c>
      <c r="I86" s="1">
        <v>149.99</v>
      </c>
      <c r="J86" s="1" t="s">
        <v>57</v>
      </c>
      <c r="K86" s="1" t="s">
        <v>63</v>
      </c>
      <c r="L86" s="1" t="s">
        <v>36</v>
      </c>
      <c r="M86" s="2">
        <v>44667</v>
      </c>
      <c r="N86" s="45">
        <f t="shared" si="1"/>
        <v>299.98</v>
      </c>
    </row>
    <row r="87" spans="1:14" ht="18.600000000000001" customHeight="1" thickBot="1" x14ac:dyDescent="0.35">
      <c r="A87" s="44" t="s">
        <v>214</v>
      </c>
      <c r="B87" s="2">
        <v>45513</v>
      </c>
      <c r="C87" s="1" t="s">
        <v>89</v>
      </c>
      <c r="D87" s="1" t="s">
        <v>90</v>
      </c>
      <c r="E87" s="1" t="s">
        <v>117</v>
      </c>
      <c r="F87" s="1" t="s">
        <v>118</v>
      </c>
      <c r="G87" s="1" t="s">
        <v>19</v>
      </c>
      <c r="H87" s="3">
        <v>1</v>
      </c>
      <c r="I87" s="1">
        <v>89.99</v>
      </c>
      <c r="J87" s="1" t="s">
        <v>26</v>
      </c>
      <c r="K87" s="1" t="s">
        <v>40</v>
      </c>
      <c r="L87" s="1" t="s">
        <v>36</v>
      </c>
      <c r="M87" s="2">
        <v>45393</v>
      </c>
      <c r="N87" s="45">
        <f t="shared" si="1"/>
        <v>89.99</v>
      </c>
    </row>
    <row r="88" spans="1:14" ht="18.600000000000001" customHeight="1" thickBot="1" x14ac:dyDescent="0.35">
      <c r="A88" s="44" t="s">
        <v>215</v>
      </c>
      <c r="B88" s="2">
        <v>45515</v>
      </c>
      <c r="C88" s="1" t="s">
        <v>86</v>
      </c>
      <c r="D88" s="1" t="s">
        <v>87</v>
      </c>
      <c r="E88" s="1" t="s">
        <v>105</v>
      </c>
      <c r="F88" s="1" t="s">
        <v>106</v>
      </c>
      <c r="G88" s="1" t="s">
        <v>46</v>
      </c>
      <c r="H88" s="3">
        <v>5</v>
      </c>
      <c r="I88" s="1">
        <v>299.99</v>
      </c>
      <c r="J88" s="1" t="s">
        <v>26</v>
      </c>
      <c r="K88" s="1" t="s">
        <v>40</v>
      </c>
      <c r="L88" s="1" t="s">
        <v>22</v>
      </c>
      <c r="M88" s="2">
        <v>44965</v>
      </c>
      <c r="N88" s="45">
        <f t="shared" si="1"/>
        <v>1499.95</v>
      </c>
    </row>
    <row r="89" spans="1:14" ht="18.600000000000001" customHeight="1" thickBot="1" x14ac:dyDescent="0.35">
      <c r="A89" s="44" t="s">
        <v>216</v>
      </c>
      <c r="B89" s="2">
        <v>45517</v>
      </c>
      <c r="C89" s="1" t="s">
        <v>182</v>
      </c>
      <c r="D89" s="1" t="s">
        <v>183</v>
      </c>
      <c r="E89" s="1" t="s">
        <v>52</v>
      </c>
      <c r="F89" s="1" t="s">
        <v>53</v>
      </c>
      <c r="G89" s="1" t="s">
        <v>19</v>
      </c>
      <c r="H89" s="3">
        <v>4</v>
      </c>
      <c r="I89" s="1">
        <v>149.99</v>
      </c>
      <c r="J89" s="1" t="s">
        <v>57</v>
      </c>
      <c r="K89" s="1" t="s">
        <v>35</v>
      </c>
      <c r="L89" s="1" t="s">
        <v>27</v>
      </c>
      <c r="M89" s="2">
        <v>44820</v>
      </c>
      <c r="N89" s="45">
        <f t="shared" si="1"/>
        <v>599.96</v>
      </c>
    </row>
    <row r="90" spans="1:14" ht="18.600000000000001" customHeight="1" thickBot="1" x14ac:dyDescent="0.35">
      <c r="A90" s="44" t="s">
        <v>217</v>
      </c>
      <c r="B90" s="2">
        <v>45517</v>
      </c>
      <c r="C90" s="1" t="s">
        <v>185</v>
      </c>
      <c r="D90" s="1" t="s">
        <v>186</v>
      </c>
      <c r="E90" s="1" t="s">
        <v>17</v>
      </c>
      <c r="F90" s="1" t="s">
        <v>18</v>
      </c>
      <c r="G90" s="1" t="s">
        <v>19</v>
      </c>
      <c r="H90" s="3">
        <v>5</v>
      </c>
      <c r="I90" s="1">
        <v>249.99</v>
      </c>
      <c r="J90" s="1" t="s">
        <v>34</v>
      </c>
      <c r="K90" s="1" t="s">
        <v>63</v>
      </c>
      <c r="L90" s="1" t="s">
        <v>27</v>
      </c>
      <c r="M90" s="2">
        <v>44782</v>
      </c>
      <c r="N90" s="45">
        <f t="shared" si="1"/>
        <v>1249.95</v>
      </c>
    </row>
    <row r="91" spans="1:14" ht="18.600000000000001" customHeight="1" thickBot="1" x14ac:dyDescent="0.35">
      <c r="A91" s="44" t="s">
        <v>218</v>
      </c>
      <c r="B91" s="2">
        <v>45517</v>
      </c>
      <c r="C91" s="1" t="s">
        <v>65</v>
      </c>
      <c r="D91" s="1" t="s">
        <v>66</v>
      </c>
      <c r="E91" s="1" t="s">
        <v>17</v>
      </c>
      <c r="F91" s="1" t="s">
        <v>18</v>
      </c>
      <c r="G91" s="1" t="s">
        <v>19</v>
      </c>
      <c r="H91" s="3">
        <v>3</v>
      </c>
      <c r="I91" s="1">
        <v>249.99</v>
      </c>
      <c r="J91" s="1" t="s">
        <v>34</v>
      </c>
      <c r="K91" s="1" t="s">
        <v>40</v>
      </c>
      <c r="L91" s="1" t="s">
        <v>27</v>
      </c>
      <c r="M91" s="2">
        <v>44465</v>
      </c>
      <c r="N91" s="45">
        <f t="shared" si="1"/>
        <v>749.97</v>
      </c>
    </row>
    <row r="92" spans="1:14" ht="18.600000000000001" customHeight="1" thickBot="1" x14ac:dyDescent="0.35">
      <c r="A92" s="44" t="s">
        <v>219</v>
      </c>
      <c r="B92" s="2">
        <v>45517</v>
      </c>
      <c r="C92" s="1" t="s">
        <v>38</v>
      </c>
      <c r="D92" s="1" t="s">
        <v>39</v>
      </c>
      <c r="E92" s="1" t="s">
        <v>126</v>
      </c>
      <c r="F92" s="1" t="s">
        <v>127</v>
      </c>
      <c r="G92" s="1" t="s">
        <v>46</v>
      </c>
      <c r="H92" s="3">
        <v>4</v>
      </c>
      <c r="I92" s="1">
        <v>199.99</v>
      </c>
      <c r="J92" s="1" t="s">
        <v>20</v>
      </c>
      <c r="K92" s="1" t="s">
        <v>40</v>
      </c>
      <c r="L92" s="1" t="s">
        <v>36</v>
      </c>
      <c r="M92" s="2">
        <v>44458</v>
      </c>
      <c r="N92" s="45">
        <f t="shared" si="1"/>
        <v>799.96</v>
      </c>
    </row>
    <row r="93" spans="1:14" ht="18.600000000000001" customHeight="1" thickBot="1" x14ac:dyDescent="0.35">
      <c r="A93" s="44" t="s">
        <v>220</v>
      </c>
      <c r="B93" s="2">
        <v>45519</v>
      </c>
      <c r="C93" s="1" t="s">
        <v>158</v>
      </c>
      <c r="D93" s="1" t="s">
        <v>159</v>
      </c>
      <c r="E93" s="1" t="s">
        <v>126</v>
      </c>
      <c r="F93" s="1" t="s">
        <v>127</v>
      </c>
      <c r="G93" s="1" t="s">
        <v>46</v>
      </c>
      <c r="H93" s="3">
        <v>5</v>
      </c>
      <c r="I93" s="1">
        <v>199.99</v>
      </c>
      <c r="J93" s="1" t="s">
        <v>20</v>
      </c>
      <c r="K93" s="1" t="s">
        <v>40</v>
      </c>
      <c r="L93" s="1" t="s">
        <v>27</v>
      </c>
      <c r="M93" s="2">
        <v>44991</v>
      </c>
      <c r="N93" s="45">
        <f t="shared" si="1"/>
        <v>999.95</v>
      </c>
    </row>
    <row r="94" spans="1:14" ht="18.600000000000001" customHeight="1" thickBot="1" x14ac:dyDescent="0.35">
      <c r="A94" s="44" t="s">
        <v>221</v>
      </c>
      <c r="B94" s="2">
        <v>45522</v>
      </c>
      <c r="C94" s="1" t="s">
        <v>86</v>
      </c>
      <c r="D94" s="1" t="s">
        <v>87</v>
      </c>
      <c r="E94" s="1" t="s">
        <v>117</v>
      </c>
      <c r="F94" s="1" t="s">
        <v>118</v>
      </c>
      <c r="G94" s="1" t="s">
        <v>19</v>
      </c>
      <c r="H94" s="3">
        <v>2</v>
      </c>
      <c r="I94" s="1">
        <v>89.99</v>
      </c>
      <c r="J94" s="1" t="s">
        <v>20</v>
      </c>
      <c r="K94" s="1" t="s">
        <v>63</v>
      </c>
      <c r="L94" s="1" t="s">
        <v>27</v>
      </c>
      <c r="M94" s="2">
        <v>44972</v>
      </c>
      <c r="N94" s="45">
        <f t="shared" si="1"/>
        <v>179.98</v>
      </c>
    </row>
    <row r="95" spans="1:14" ht="18.600000000000001" customHeight="1" thickBot="1" x14ac:dyDescent="0.35">
      <c r="A95" s="44" t="s">
        <v>222</v>
      </c>
      <c r="B95" s="2">
        <v>45523</v>
      </c>
      <c r="C95" s="1" t="s">
        <v>196</v>
      </c>
      <c r="D95" s="1" t="s">
        <v>197</v>
      </c>
      <c r="E95" s="1" t="s">
        <v>61</v>
      </c>
      <c r="F95" s="1" t="s">
        <v>62</v>
      </c>
      <c r="G95" s="1" t="s">
        <v>19</v>
      </c>
      <c r="H95" s="3">
        <v>5</v>
      </c>
      <c r="I95" s="1">
        <v>899.99</v>
      </c>
      <c r="J95" s="1" t="s">
        <v>57</v>
      </c>
      <c r="K95" s="1" t="s">
        <v>63</v>
      </c>
      <c r="L95" s="1" t="s">
        <v>22</v>
      </c>
      <c r="M95" s="2">
        <v>44526</v>
      </c>
      <c r="N95" s="45">
        <f t="shared" si="1"/>
        <v>4499.95</v>
      </c>
    </row>
    <row r="96" spans="1:14" ht="18.600000000000001" customHeight="1" thickBot="1" x14ac:dyDescent="0.35">
      <c r="A96" s="44" t="s">
        <v>223</v>
      </c>
      <c r="B96" s="2">
        <v>45523</v>
      </c>
      <c r="C96" s="1" t="s">
        <v>108</v>
      </c>
      <c r="D96" s="1" t="s">
        <v>109</v>
      </c>
      <c r="E96" s="1" t="s">
        <v>52</v>
      </c>
      <c r="F96" s="1" t="s">
        <v>53</v>
      </c>
      <c r="G96" s="1" t="s">
        <v>19</v>
      </c>
      <c r="H96" s="3">
        <v>3</v>
      </c>
      <c r="I96" s="1">
        <v>149.99</v>
      </c>
      <c r="J96" s="1" t="s">
        <v>34</v>
      </c>
      <c r="K96" s="1" t="s">
        <v>63</v>
      </c>
      <c r="L96" s="1" t="s">
        <v>22</v>
      </c>
      <c r="M96" s="2">
        <v>44574</v>
      </c>
      <c r="N96" s="45">
        <f t="shared" si="1"/>
        <v>449.97</v>
      </c>
    </row>
    <row r="97" spans="1:14" ht="18.600000000000001" customHeight="1" thickBot="1" x14ac:dyDescent="0.35">
      <c r="A97" s="44" t="s">
        <v>224</v>
      </c>
      <c r="B97" s="2">
        <v>45526</v>
      </c>
      <c r="C97" s="1" t="s">
        <v>102</v>
      </c>
      <c r="D97" s="1" t="s">
        <v>103</v>
      </c>
      <c r="E97" s="1" t="s">
        <v>44</v>
      </c>
      <c r="F97" s="1" t="s">
        <v>45</v>
      </c>
      <c r="G97" s="1" t="s">
        <v>46</v>
      </c>
      <c r="H97" s="3">
        <v>5</v>
      </c>
      <c r="I97" s="1">
        <v>149.99</v>
      </c>
      <c r="J97" s="1" t="s">
        <v>26</v>
      </c>
      <c r="K97" s="1" t="s">
        <v>21</v>
      </c>
      <c r="L97" s="1" t="s">
        <v>22</v>
      </c>
      <c r="M97" s="2">
        <v>45310</v>
      </c>
      <c r="N97" s="45">
        <f t="shared" si="1"/>
        <v>749.95</v>
      </c>
    </row>
    <row r="98" spans="1:14" ht="18.600000000000001" customHeight="1" thickBot="1" x14ac:dyDescent="0.35">
      <c r="A98" s="44" t="s">
        <v>225</v>
      </c>
      <c r="B98" s="2">
        <v>45528</v>
      </c>
      <c r="C98" s="1" t="s">
        <v>226</v>
      </c>
      <c r="D98" s="1" t="s">
        <v>227</v>
      </c>
      <c r="E98" s="1" t="s">
        <v>114</v>
      </c>
      <c r="F98" s="1" t="s">
        <v>115</v>
      </c>
      <c r="G98" s="1" t="s">
        <v>33</v>
      </c>
      <c r="H98" s="3">
        <v>3</v>
      </c>
      <c r="I98" s="1">
        <v>79.989999999999995</v>
      </c>
      <c r="J98" s="1" t="s">
        <v>20</v>
      </c>
      <c r="K98" s="1" t="s">
        <v>21</v>
      </c>
      <c r="L98" s="1" t="s">
        <v>27</v>
      </c>
      <c r="M98" s="2">
        <v>44779</v>
      </c>
      <c r="N98" s="45">
        <f t="shared" si="1"/>
        <v>239.96999999999997</v>
      </c>
    </row>
    <row r="99" spans="1:14" ht="18.600000000000001" customHeight="1" thickBot="1" x14ac:dyDescent="0.35">
      <c r="A99" s="44" t="s">
        <v>228</v>
      </c>
      <c r="B99" s="2">
        <v>45528</v>
      </c>
      <c r="C99" s="1" t="s">
        <v>144</v>
      </c>
      <c r="D99" s="1" t="s">
        <v>145</v>
      </c>
      <c r="E99" s="1" t="s">
        <v>17</v>
      </c>
      <c r="F99" s="1" t="s">
        <v>18</v>
      </c>
      <c r="G99" s="1" t="s">
        <v>19</v>
      </c>
      <c r="H99" s="3">
        <v>2</v>
      </c>
      <c r="I99" s="1">
        <v>249.99</v>
      </c>
      <c r="J99" s="1" t="s">
        <v>20</v>
      </c>
      <c r="K99" s="1" t="s">
        <v>35</v>
      </c>
      <c r="L99" s="1" t="s">
        <v>36</v>
      </c>
      <c r="M99" s="2">
        <v>44572</v>
      </c>
      <c r="N99" s="45">
        <f t="shared" si="1"/>
        <v>499.98</v>
      </c>
    </row>
    <row r="100" spans="1:14" ht="18.600000000000001" customHeight="1" thickBot="1" x14ac:dyDescent="0.35">
      <c r="A100" s="44" t="s">
        <v>229</v>
      </c>
      <c r="B100" s="2">
        <v>45532</v>
      </c>
      <c r="C100" s="1" t="s">
        <v>196</v>
      </c>
      <c r="D100" s="1" t="s">
        <v>197</v>
      </c>
      <c r="E100" s="1" t="s">
        <v>80</v>
      </c>
      <c r="F100" s="1" t="s">
        <v>81</v>
      </c>
      <c r="G100" s="1" t="s">
        <v>19</v>
      </c>
      <c r="H100" s="3">
        <v>1</v>
      </c>
      <c r="I100" s="1">
        <v>699.99</v>
      </c>
      <c r="J100" s="1" t="s">
        <v>20</v>
      </c>
      <c r="K100" s="1" t="s">
        <v>21</v>
      </c>
      <c r="L100" s="1" t="s">
        <v>27</v>
      </c>
      <c r="M100" s="2">
        <v>44497</v>
      </c>
      <c r="N100" s="45">
        <f t="shared" si="1"/>
        <v>699.99</v>
      </c>
    </row>
    <row r="101" spans="1:14" ht="18.600000000000001" customHeight="1" thickBot="1" x14ac:dyDescent="0.35">
      <c r="A101" s="44" t="s">
        <v>230</v>
      </c>
      <c r="B101" s="2">
        <v>45532</v>
      </c>
      <c r="C101" s="1" t="s">
        <v>231</v>
      </c>
      <c r="D101" s="1" t="s">
        <v>232</v>
      </c>
      <c r="E101" s="1" t="s">
        <v>52</v>
      </c>
      <c r="F101" s="1" t="s">
        <v>53</v>
      </c>
      <c r="G101" s="1" t="s">
        <v>19</v>
      </c>
      <c r="H101" s="3">
        <v>3</v>
      </c>
      <c r="I101" s="1">
        <v>149.99</v>
      </c>
      <c r="J101" s="1" t="s">
        <v>20</v>
      </c>
      <c r="K101" s="1" t="s">
        <v>50</v>
      </c>
      <c r="L101" s="1" t="s">
        <v>27</v>
      </c>
      <c r="M101" s="2">
        <v>45212</v>
      </c>
      <c r="N101" s="45">
        <f t="shared" si="1"/>
        <v>449.97</v>
      </c>
    </row>
    <row r="102" spans="1:14" ht="18.600000000000001" customHeight="1" thickBot="1" x14ac:dyDescent="0.35">
      <c r="A102" s="44" t="s">
        <v>233</v>
      </c>
      <c r="B102" s="2">
        <v>45534</v>
      </c>
      <c r="C102" s="1" t="s">
        <v>234</v>
      </c>
      <c r="D102" s="1" t="s">
        <v>235</v>
      </c>
      <c r="E102" s="1" t="s">
        <v>80</v>
      </c>
      <c r="F102" s="1" t="s">
        <v>81</v>
      </c>
      <c r="G102" s="1" t="s">
        <v>19</v>
      </c>
      <c r="H102" s="3">
        <v>2</v>
      </c>
      <c r="I102" s="1">
        <v>699.99</v>
      </c>
      <c r="J102" s="1" t="s">
        <v>26</v>
      </c>
      <c r="K102" s="1" t="s">
        <v>40</v>
      </c>
      <c r="L102" s="1" t="s">
        <v>27</v>
      </c>
      <c r="M102" s="2">
        <v>44421</v>
      </c>
      <c r="N102" s="45">
        <f t="shared" si="1"/>
        <v>1399.98</v>
      </c>
    </row>
    <row r="103" spans="1:14" ht="18.600000000000001" customHeight="1" thickBot="1" x14ac:dyDescent="0.35">
      <c r="A103" s="44" t="s">
        <v>236</v>
      </c>
      <c r="B103" s="2">
        <v>45537</v>
      </c>
      <c r="C103" s="1" t="s">
        <v>231</v>
      </c>
      <c r="D103" s="1" t="s">
        <v>232</v>
      </c>
      <c r="E103" s="1" t="s">
        <v>17</v>
      </c>
      <c r="F103" s="1" t="s">
        <v>18</v>
      </c>
      <c r="G103" s="1" t="s">
        <v>19</v>
      </c>
      <c r="H103" s="3">
        <v>1</v>
      </c>
      <c r="I103" s="1">
        <v>249.99</v>
      </c>
      <c r="J103" s="1" t="s">
        <v>26</v>
      </c>
      <c r="K103" s="1" t="s">
        <v>50</v>
      </c>
      <c r="L103" s="1" t="s">
        <v>27</v>
      </c>
      <c r="M103" s="2">
        <v>44685</v>
      </c>
      <c r="N103" s="45">
        <f t="shared" si="1"/>
        <v>249.99</v>
      </c>
    </row>
    <row r="104" spans="1:14" ht="18.600000000000001" customHeight="1" thickBot="1" x14ac:dyDescent="0.35">
      <c r="A104" s="44" t="s">
        <v>237</v>
      </c>
      <c r="B104" s="2">
        <v>45537</v>
      </c>
      <c r="C104" s="1" t="s">
        <v>15</v>
      </c>
      <c r="D104" s="1" t="s">
        <v>16</v>
      </c>
      <c r="E104" s="1" t="s">
        <v>17</v>
      </c>
      <c r="F104" s="1" t="s">
        <v>18</v>
      </c>
      <c r="G104" s="1" t="s">
        <v>19</v>
      </c>
      <c r="H104" s="3">
        <v>1</v>
      </c>
      <c r="I104" s="1">
        <v>249.99</v>
      </c>
      <c r="J104" s="1" t="s">
        <v>57</v>
      </c>
      <c r="K104" s="1" t="s">
        <v>40</v>
      </c>
      <c r="L104" s="1" t="s">
        <v>27</v>
      </c>
      <c r="M104" s="2">
        <v>45332</v>
      </c>
      <c r="N104" s="45">
        <f t="shared" si="1"/>
        <v>249.99</v>
      </c>
    </row>
    <row r="105" spans="1:14" ht="18.600000000000001" customHeight="1" thickBot="1" x14ac:dyDescent="0.35">
      <c r="A105" s="44" t="s">
        <v>238</v>
      </c>
      <c r="B105" s="2">
        <v>45538</v>
      </c>
      <c r="C105" s="1" t="s">
        <v>226</v>
      </c>
      <c r="D105" s="1" t="s">
        <v>227</v>
      </c>
      <c r="E105" s="1" t="s">
        <v>80</v>
      </c>
      <c r="F105" s="1" t="s">
        <v>81</v>
      </c>
      <c r="G105" s="1" t="s">
        <v>19</v>
      </c>
      <c r="H105" s="3">
        <v>2</v>
      </c>
      <c r="I105" s="1">
        <v>699.99</v>
      </c>
      <c r="J105" s="1" t="s">
        <v>57</v>
      </c>
      <c r="K105" s="1" t="s">
        <v>21</v>
      </c>
      <c r="L105" s="1" t="s">
        <v>27</v>
      </c>
      <c r="M105" s="2">
        <v>44870</v>
      </c>
      <c r="N105" s="45">
        <f t="shared" si="1"/>
        <v>1399.98</v>
      </c>
    </row>
    <row r="106" spans="1:14" ht="18.600000000000001" customHeight="1" thickBot="1" x14ac:dyDescent="0.35">
      <c r="A106" s="44" t="s">
        <v>239</v>
      </c>
      <c r="B106" s="2">
        <v>45541</v>
      </c>
      <c r="C106" s="1" t="s">
        <v>138</v>
      </c>
      <c r="D106" s="1" t="s">
        <v>139</v>
      </c>
      <c r="E106" s="1" t="s">
        <v>31</v>
      </c>
      <c r="F106" s="1" t="s">
        <v>32</v>
      </c>
      <c r="G106" s="1" t="s">
        <v>33</v>
      </c>
      <c r="H106" s="3">
        <v>3</v>
      </c>
      <c r="I106" s="1">
        <v>59.99</v>
      </c>
      <c r="J106" s="1" t="s">
        <v>26</v>
      </c>
      <c r="K106" s="1" t="s">
        <v>21</v>
      </c>
      <c r="L106" s="1" t="s">
        <v>27</v>
      </c>
      <c r="M106" s="2">
        <v>44717</v>
      </c>
      <c r="N106" s="45">
        <f t="shared" si="1"/>
        <v>179.97</v>
      </c>
    </row>
    <row r="107" spans="1:14" ht="18.600000000000001" customHeight="1" thickBot="1" x14ac:dyDescent="0.35">
      <c r="A107" s="44" t="s">
        <v>240</v>
      </c>
      <c r="B107" s="2">
        <v>45544</v>
      </c>
      <c r="C107" s="1" t="s">
        <v>132</v>
      </c>
      <c r="D107" s="1" t="s">
        <v>133</v>
      </c>
      <c r="E107" s="1" t="s">
        <v>31</v>
      </c>
      <c r="F107" s="1" t="s">
        <v>32</v>
      </c>
      <c r="G107" s="1" t="s">
        <v>33</v>
      </c>
      <c r="H107" s="3">
        <v>3</v>
      </c>
      <c r="I107" s="1">
        <v>59.99</v>
      </c>
      <c r="J107" s="1" t="s">
        <v>34</v>
      </c>
      <c r="K107" s="1" t="s">
        <v>63</v>
      </c>
      <c r="L107" s="1" t="s">
        <v>36</v>
      </c>
      <c r="M107" s="2">
        <v>44748</v>
      </c>
      <c r="N107" s="45">
        <f t="shared" si="1"/>
        <v>179.97</v>
      </c>
    </row>
    <row r="108" spans="1:14" ht="18.600000000000001" customHeight="1" thickBot="1" x14ac:dyDescent="0.35">
      <c r="A108" s="44" t="s">
        <v>241</v>
      </c>
      <c r="B108" s="2">
        <v>45544</v>
      </c>
      <c r="C108" s="1" t="s">
        <v>141</v>
      </c>
      <c r="D108" s="1" t="s">
        <v>142</v>
      </c>
      <c r="E108" s="1" t="s">
        <v>114</v>
      </c>
      <c r="F108" s="1" t="s">
        <v>115</v>
      </c>
      <c r="G108" s="1" t="s">
        <v>33</v>
      </c>
      <c r="H108" s="3">
        <v>4</v>
      </c>
      <c r="I108" s="1">
        <v>79.989999999999995</v>
      </c>
      <c r="J108" s="1" t="s">
        <v>20</v>
      </c>
      <c r="K108" s="1" t="s">
        <v>40</v>
      </c>
      <c r="L108" s="1" t="s">
        <v>22</v>
      </c>
      <c r="M108" s="2">
        <v>44530</v>
      </c>
      <c r="N108" s="45">
        <f t="shared" si="1"/>
        <v>319.95999999999998</v>
      </c>
    </row>
    <row r="109" spans="1:14" ht="18.600000000000001" customHeight="1" thickBot="1" x14ac:dyDescent="0.35">
      <c r="A109" s="44" t="s">
        <v>242</v>
      </c>
      <c r="B109" s="2">
        <v>45545</v>
      </c>
      <c r="C109" s="1" t="s">
        <v>55</v>
      </c>
      <c r="D109" s="1" t="s">
        <v>56</v>
      </c>
      <c r="E109" s="1" t="s">
        <v>114</v>
      </c>
      <c r="F109" s="1" t="s">
        <v>115</v>
      </c>
      <c r="G109" s="1" t="s">
        <v>33</v>
      </c>
      <c r="H109" s="3">
        <v>1</v>
      </c>
      <c r="I109" s="1">
        <v>79.989999999999995</v>
      </c>
      <c r="J109" s="1" t="s">
        <v>20</v>
      </c>
      <c r="K109" s="1" t="s">
        <v>50</v>
      </c>
      <c r="L109" s="1" t="s">
        <v>22</v>
      </c>
      <c r="M109" s="2">
        <v>44693</v>
      </c>
      <c r="N109" s="45">
        <f t="shared" si="1"/>
        <v>79.989999999999995</v>
      </c>
    </row>
    <row r="110" spans="1:14" ht="18.600000000000001" customHeight="1" thickBot="1" x14ac:dyDescent="0.35">
      <c r="A110" s="44" t="s">
        <v>243</v>
      </c>
      <c r="B110" s="2">
        <v>45547</v>
      </c>
      <c r="C110" s="1" t="s">
        <v>48</v>
      </c>
      <c r="D110" s="1" t="s">
        <v>49</v>
      </c>
      <c r="E110" s="1" t="s">
        <v>105</v>
      </c>
      <c r="F110" s="1" t="s">
        <v>106</v>
      </c>
      <c r="G110" s="1" t="s">
        <v>46</v>
      </c>
      <c r="H110" s="3">
        <v>3</v>
      </c>
      <c r="I110" s="1">
        <v>299.99</v>
      </c>
      <c r="J110" s="1" t="s">
        <v>26</v>
      </c>
      <c r="K110" s="1" t="s">
        <v>21</v>
      </c>
      <c r="L110" s="1" t="s">
        <v>27</v>
      </c>
      <c r="M110" s="2">
        <v>44494</v>
      </c>
      <c r="N110" s="45">
        <f t="shared" si="1"/>
        <v>899.97</v>
      </c>
    </row>
    <row r="111" spans="1:14" ht="18.600000000000001" customHeight="1" thickBot="1" x14ac:dyDescent="0.35">
      <c r="A111" s="44" t="s">
        <v>244</v>
      </c>
      <c r="B111" s="2">
        <v>45548</v>
      </c>
      <c r="C111" s="1" t="s">
        <v>38</v>
      </c>
      <c r="D111" s="1" t="s">
        <v>39</v>
      </c>
      <c r="E111" s="1" t="s">
        <v>117</v>
      </c>
      <c r="F111" s="1" t="s">
        <v>118</v>
      </c>
      <c r="G111" s="1" t="s">
        <v>19</v>
      </c>
      <c r="H111" s="3">
        <v>2</v>
      </c>
      <c r="I111" s="1">
        <v>89.99</v>
      </c>
      <c r="J111" s="1" t="s">
        <v>26</v>
      </c>
      <c r="K111" s="1" t="s">
        <v>35</v>
      </c>
      <c r="L111" s="1" t="s">
        <v>27</v>
      </c>
      <c r="M111" s="2">
        <v>44641</v>
      </c>
      <c r="N111" s="45">
        <f t="shared" si="1"/>
        <v>179.98</v>
      </c>
    </row>
    <row r="112" spans="1:14" ht="18.600000000000001" customHeight="1" thickBot="1" x14ac:dyDescent="0.35">
      <c r="A112" s="44" t="s">
        <v>245</v>
      </c>
      <c r="B112" s="2">
        <v>45550</v>
      </c>
      <c r="C112" s="1" t="s">
        <v>246</v>
      </c>
      <c r="D112" s="1" t="s">
        <v>247</v>
      </c>
      <c r="E112" s="1" t="s">
        <v>52</v>
      </c>
      <c r="F112" s="1" t="s">
        <v>53</v>
      </c>
      <c r="G112" s="1" t="s">
        <v>19</v>
      </c>
      <c r="H112" s="3">
        <v>4</v>
      </c>
      <c r="I112" s="1">
        <v>149.99</v>
      </c>
      <c r="J112" s="1" t="s">
        <v>20</v>
      </c>
      <c r="K112" s="1" t="s">
        <v>40</v>
      </c>
      <c r="L112" s="1" t="s">
        <v>22</v>
      </c>
      <c r="M112" s="2">
        <v>44909</v>
      </c>
      <c r="N112" s="45">
        <f t="shared" si="1"/>
        <v>599.96</v>
      </c>
    </row>
    <row r="113" spans="1:14" ht="18.600000000000001" customHeight="1" thickBot="1" x14ac:dyDescent="0.35">
      <c r="A113" s="44" t="s">
        <v>248</v>
      </c>
      <c r="B113" s="2">
        <v>45551</v>
      </c>
      <c r="C113" s="1" t="s">
        <v>65</v>
      </c>
      <c r="D113" s="1" t="s">
        <v>66</v>
      </c>
      <c r="E113" s="1" t="s">
        <v>17</v>
      </c>
      <c r="F113" s="1" t="s">
        <v>18</v>
      </c>
      <c r="G113" s="1" t="s">
        <v>19</v>
      </c>
      <c r="H113" s="3">
        <v>2</v>
      </c>
      <c r="I113" s="1">
        <v>249.99</v>
      </c>
      <c r="J113" s="1" t="s">
        <v>34</v>
      </c>
      <c r="K113" s="1" t="s">
        <v>35</v>
      </c>
      <c r="L113" s="1" t="s">
        <v>22</v>
      </c>
      <c r="M113" s="2">
        <v>44993</v>
      </c>
      <c r="N113" s="45">
        <f t="shared" si="1"/>
        <v>499.98</v>
      </c>
    </row>
    <row r="114" spans="1:14" ht="18.600000000000001" customHeight="1" thickBot="1" x14ac:dyDescent="0.35">
      <c r="A114" s="44" t="s">
        <v>249</v>
      </c>
      <c r="B114" s="2">
        <v>45551</v>
      </c>
      <c r="C114" s="1" t="s">
        <v>154</v>
      </c>
      <c r="D114" s="1" t="s">
        <v>155</v>
      </c>
      <c r="E114" s="1" t="s">
        <v>126</v>
      </c>
      <c r="F114" s="1" t="s">
        <v>127</v>
      </c>
      <c r="G114" s="1" t="s">
        <v>46</v>
      </c>
      <c r="H114" s="3">
        <v>4</v>
      </c>
      <c r="I114" s="1">
        <v>199.99</v>
      </c>
      <c r="J114" s="1" t="s">
        <v>57</v>
      </c>
      <c r="K114" s="1" t="s">
        <v>63</v>
      </c>
      <c r="L114" s="1" t="s">
        <v>22</v>
      </c>
      <c r="M114" s="2">
        <v>44458</v>
      </c>
      <c r="N114" s="45">
        <f t="shared" si="1"/>
        <v>799.96</v>
      </c>
    </row>
    <row r="115" spans="1:14" ht="18.600000000000001" customHeight="1" thickBot="1" x14ac:dyDescent="0.35">
      <c r="A115" s="44" t="s">
        <v>250</v>
      </c>
      <c r="B115" s="2">
        <v>45554</v>
      </c>
      <c r="C115" s="1" t="s">
        <v>147</v>
      </c>
      <c r="D115" s="1" t="s">
        <v>148</v>
      </c>
      <c r="E115" s="1" t="s">
        <v>117</v>
      </c>
      <c r="F115" s="1" t="s">
        <v>118</v>
      </c>
      <c r="G115" s="1" t="s">
        <v>19</v>
      </c>
      <c r="H115" s="3">
        <v>5</v>
      </c>
      <c r="I115" s="1">
        <v>89.99</v>
      </c>
      <c r="J115" s="1" t="s">
        <v>26</v>
      </c>
      <c r="K115" s="1" t="s">
        <v>63</v>
      </c>
      <c r="L115" s="1" t="s">
        <v>27</v>
      </c>
      <c r="M115" s="2">
        <v>44446</v>
      </c>
      <c r="N115" s="45">
        <f t="shared" si="1"/>
        <v>449.95</v>
      </c>
    </row>
    <row r="116" spans="1:14" ht="18.600000000000001" customHeight="1" thickBot="1" x14ac:dyDescent="0.35">
      <c r="A116" s="44" t="s">
        <v>251</v>
      </c>
      <c r="B116" s="2">
        <v>45554</v>
      </c>
      <c r="C116" s="1" t="s">
        <v>252</v>
      </c>
      <c r="D116" s="1" t="s">
        <v>253</v>
      </c>
      <c r="E116" s="1" t="s">
        <v>52</v>
      </c>
      <c r="F116" s="1" t="s">
        <v>53</v>
      </c>
      <c r="G116" s="1" t="s">
        <v>19</v>
      </c>
      <c r="H116" s="3">
        <v>1</v>
      </c>
      <c r="I116" s="1">
        <v>149.99</v>
      </c>
      <c r="J116" s="1" t="s">
        <v>34</v>
      </c>
      <c r="K116" s="1" t="s">
        <v>63</v>
      </c>
      <c r="L116" s="1" t="s">
        <v>36</v>
      </c>
      <c r="M116" s="2">
        <v>44482</v>
      </c>
      <c r="N116" s="45">
        <f t="shared" si="1"/>
        <v>149.99</v>
      </c>
    </row>
    <row r="117" spans="1:14" ht="18.600000000000001" customHeight="1" thickBot="1" x14ac:dyDescent="0.35">
      <c r="A117" s="44" t="s">
        <v>254</v>
      </c>
      <c r="B117" s="2">
        <v>45554</v>
      </c>
      <c r="C117" s="1" t="s">
        <v>72</v>
      </c>
      <c r="D117" s="1" t="s">
        <v>73</v>
      </c>
      <c r="E117" s="1" t="s">
        <v>80</v>
      </c>
      <c r="F117" s="1" t="s">
        <v>81</v>
      </c>
      <c r="G117" s="1" t="s">
        <v>19</v>
      </c>
      <c r="H117" s="3">
        <v>4</v>
      </c>
      <c r="I117" s="1">
        <v>699.99</v>
      </c>
      <c r="J117" s="1" t="s">
        <v>34</v>
      </c>
      <c r="K117" s="1" t="s">
        <v>35</v>
      </c>
      <c r="L117" s="1" t="s">
        <v>22</v>
      </c>
      <c r="M117" s="2">
        <v>44618</v>
      </c>
      <c r="N117" s="45">
        <f t="shared" si="1"/>
        <v>2799.96</v>
      </c>
    </row>
    <row r="118" spans="1:14" ht="18.600000000000001" customHeight="1" thickBot="1" x14ac:dyDescent="0.35">
      <c r="A118" s="44" t="s">
        <v>255</v>
      </c>
      <c r="B118" s="2">
        <v>45559</v>
      </c>
      <c r="C118" s="1" t="s">
        <v>234</v>
      </c>
      <c r="D118" s="1" t="s">
        <v>235</v>
      </c>
      <c r="E118" s="1" t="s">
        <v>61</v>
      </c>
      <c r="F118" s="1" t="s">
        <v>62</v>
      </c>
      <c r="G118" s="1" t="s">
        <v>19</v>
      </c>
      <c r="H118" s="3">
        <v>3</v>
      </c>
      <c r="I118" s="1">
        <v>899.99</v>
      </c>
      <c r="J118" s="1" t="s">
        <v>26</v>
      </c>
      <c r="K118" s="1" t="s">
        <v>40</v>
      </c>
      <c r="L118" s="1" t="s">
        <v>36</v>
      </c>
      <c r="M118" s="2">
        <v>45157</v>
      </c>
      <c r="N118" s="45">
        <f t="shared" si="1"/>
        <v>2699.9700000000003</v>
      </c>
    </row>
    <row r="119" spans="1:14" ht="18.600000000000001" customHeight="1" thickBot="1" x14ac:dyDescent="0.35">
      <c r="A119" s="44" t="s">
        <v>256</v>
      </c>
      <c r="B119" s="2">
        <v>45560</v>
      </c>
      <c r="C119" s="1" t="s">
        <v>112</v>
      </c>
      <c r="D119" s="1" t="s">
        <v>113</v>
      </c>
      <c r="E119" s="1" t="s">
        <v>44</v>
      </c>
      <c r="F119" s="1" t="s">
        <v>45</v>
      </c>
      <c r="G119" s="1" t="s">
        <v>46</v>
      </c>
      <c r="H119" s="3">
        <v>3</v>
      </c>
      <c r="I119" s="1">
        <v>149.99</v>
      </c>
      <c r="J119" s="1" t="s">
        <v>34</v>
      </c>
      <c r="K119" s="1" t="s">
        <v>63</v>
      </c>
      <c r="L119" s="1" t="s">
        <v>22</v>
      </c>
      <c r="M119" s="2">
        <v>44886</v>
      </c>
      <c r="N119" s="45">
        <f t="shared" si="1"/>
        <v>449.97</v>
      </c>
    </row>
    <row r="120" spans="1:14" ht="18.600000000000001" customHeight="1" thickBot="1" x14ac:dyDescent="0.35">
      <c r="A120" s="44" t="s">
        <v>257</v>
      </c>
      <c r="B120" s="2">
        <v>45563</v>
      </c>
      <c r="C120" s="1" t="s">
        <v>99</v>
      </c>
      <c r="D120" s="1" t="s">
        <v>100</v>
      </c>
      <c r="E120" s="1" t="s">
        <v>105</v>
      </c>
      <c r="F120" s="1" t="s">
        <v>106</v>
      </c>
      <c r="G120" s="1" t="s">
        <v>46</v>
      </c>
      <c r="H120" s="3">
        <v>2</v>
      </c>
      <c r="I120" s="1">
        <v>299.99</v>
      </c>
      <c r="J120" s="1" t="s">
        <v>57</v>
      </c>
      <c r="K120" s="1" t="s">
        <v>21</v>
      </c>
      <c r="L120" s="1" t="s">
        <v>22</v>
      </c>
      <c r="M120" s="2">
        <v>44569</v>
      </c>
      <c r="N120" s="45">
        <f t="shared" si="1"/>
        <v>599.98</v>
      </c>
    </row>
    <row r="121" spans="1:14" ht="18.600000000000001" customHeight="1" thickBot="1" x14ac:dyDescent="0.35">
      <c r="A121" s="44" t="s">
        <v>258</v>
      </c>
      <c r="B121" s="2">
        <v>45564</v>
      </c>
      <c r="C121" s="1" t="s">
        <v>259</v>
      </c>
      <c r="D121" s="1" t="s">
        <v>260</v>
      </c>
      <c r="E121" s="1" t="s">
        <v>126</v>
      </c>
      <c r="F121" s="1" t="s">
        <v>127</v>
      </c>
      <c r="G121" s="1" t="s">
        <v>46</v>
      </c>
      <c r="H121" s="3">
        <v>1</v>
      </c>
      <c r="I121" s="1">
        <v>199.99</v>
      </c>
      <c r="J121" s="1" t="s">
        <v>57</v>
      </c>
      <c r="K121" s="1" t="s">
        <v>63</v>
      </c>
      <c r="L121" s="1" t="s">
        <v>36</v>
      </c>
      <c r="M121" s="2">
        <v>44953</v>
      </c>
      <c r="N121" s="45">
        <f t="shared" si="1"/>
        <v>199.99</v>
      </c>
    </row>
    <row r="122" spans="1:14" ht="18.600000000000001" customHeight="1" thickBot="1" x14ac:dyDescent="0.35">
      <c r="A122" s="44" t="s">
        <v>261</v>
      </c>
      <c r="B122" s="2">
        <v>45566</v>
      </c>
      <c r="C122" s="1" t="s">
        <v>42</v>
      </c>
      <c r="D122" s="1" t="s">
        <v>43</v>
      </c>
      <c r="E122" s="1" t="s">
        <v>105</v>
      </c>
      <c r="F122" s="1" t="s">
        <v>106</v>
      </c>
      <c r="G122" s="1" t="s">
        <v>46</v>
      </c>
      <c r="H122" s="3">
        <v>4</v>
      </c>
      <c r="I122" s="1">
        <v>299.99</v>
      </c>
      <c r="J122" s="1" t="s">
        <v>20</v>
      </c>
      <c r="K122" s="1" t="s">
        <v>21</v>
      </c>
      <c r="L122" s="1" t="s">
        <v>27</v>
      </c>
      <c r="M122" s="2">
        <v>44460</v>
      </c>
      <c r="N122" s="45">
        <f t="shared" si="1"/>
        <v>1199.96</v>
      </c>
    </row>
    <row r="123" spans="1:14" ht="18.600000000000001" customHeight="1" thickBot="1" x14ac:dyDescent="0.35">
      <c r="A123" s="44" t="s">
        <v>262</v>
      </c>
      <c r="B123" s="2">
        <v>45572</v>
      </c>
      <c r="C123" s="1" t="s">
        <v>89</v>
      </c>
      <c r="D123" s="1" t="s">
        <v>90</v>
      </c>
      <c r="E123" s="1" t="s">
        <v>31</v>
      </c>
      <c r="F123" s="1" t="s">
        <v>32</v>
      </c>
      <c r="G123" s="1" t="s">
        <v>33</v>
      </c>
      <c r="H123" s="3">
        <v>2</v>
      </c>
      <c r="I123" s="1">
        <v>59.99</v>
      </c>
      <c r="J123" s="1" t="s">
        <v>26</v>
      </c>
      <c r="K123" s="1" t="s">
        <v>21</v>
      </c>
      <c r="L123" s="1" t="s">
        <v>22</v>
      </c>
      <c r="M123" s="2">
        <v>44579</v>
      </c>
      <c r="N123" s="45">
        <f t="shared" si="1"/>
        <v>119.98</v>
      </c>
    </row>
    <row r="124" spans="1:14" ht="18.600000000000001" customHeight="1" thickBot="1" x14ac:dyDescent="0.35">
      <c r="A124" s="44" t="s">
        <v>263</v>
      </c>
      <c r="B124" s="2">
        <v>45572</v>
      </c>
      <c r="C124" s="1" t="s">
        <v>234</v>
      </c>
      <c r="D124" s="1" t="s">
        <v>235</v>
      </c>
      <c r="E124" s="1" t="s">
        <v>52</v>
      </c>
      <c r="F124" s="1" t="s">
        <v>53</v>
      </c>
      <c r="G124" s="1" t="s">
        <v>19</v>
      </c>
      <c r="H124" s="3">
        <v>4</v>
      </c>
      <c r="I124" s="1">
        <v>149.99</v>
      </c>
      <c r="J124" s="1" t="s">
        <v>26</v>
      </c>
      <c r="K124" s="1" t="s">
        <v>40</v>
      </c>
      <c r="L124" s="1" t="s">
        <v>27</v>
      </c>
      <c r="M124" s="2">
        <v>45076</v>
      </c>
      <c r="N124" s="45">
        <f t="shared" si="1"/>
        <v>599.96</v>
      </c>
    </row>
    <row r="125" spans="1:14" ht="18.600000000000001" customHeight="1" thickBot="1" x14ac:dyDescent="0.35">
      <c r="A125" s="44" t="s">
        <v>264</v>
      </c>
      <c r="B125" s="2">
        <v>45573</v>
      </c>
      <c r="C125" s="1" t="s">
        <v>211</v>
      </c>
      <c r="D125" s="1" t="s">
        <v>212</v>
      </c>
      <c r="E125" s="1" t="s">
        <v>80</v>
      </c>
      <c r="F125" s="1" t="s">
        <v>81</v>
      </c>
      <c r="G125" s="1" t="s">
        <v>19</v>
      </c>
      <c r="H125" s="3">
        <v>2</v>
      </c>
      <c r="I125" s="1">
        <v>699.99</v>
      </c>
      <c r="J125" s="1" t="s">
        <v>57</v>
      </c>
      <c r="K125" s="1" t="s">
        <v>63</v>
      </c>
      <c r="L125" s="1" t="s">
        <v>27</v>
      </c>
      <c r="M125" s="2">
        <v>45274</v>
      </c>
      <c r="N125" s="45">
        <f t="shared" si="1"/>
        <v>1399.98</v>
      </c>
    </row>
    <row r="126" spans="1:14" ht="18.600000000000001" customHeight="1" thickBot="1" x14ac:dyDescent="0.35">
      <c r="A126" s="44" t="s">
        <v>265</v>
      </c>
      <c r="B126" s="2">
        <v>45573</v>
      </c>
      <c r="C126" s="1" t="s">
        <v>231</v>
      </c>
      <c r="D126" s="1" t="s">
        <v>232</v>
      </c>
      <c r="E126" s="1" t="s">
        <v>44</v>
      </c>
      <c r="F126" s="1" t="s">
        <v>45</v>
      </c>
      <c r="G126" s="1" t="s">
        <v>46</v>
      </c>
      <c r="H126" s="3">
        <v>3</v>
      </c>
      <c r="I126" s="1">
        <v>149.99</v>
      </c>
      <c r="J126" s="1" t="s">
        <v>26</v>
      </c>
      <c r="K126" s="1" t="s">
        <v>35</v>
      </c>
      <c r="L126" s="1" t="s">
        <v>36</v>
      </c>
      <c r="M126" s="2">
        <v>44940</v>
      </c>
      <c r="N126" s="45">
        <f t="shared" si="1"/>
        <v>449.97</v>
      </c>
    </row>
    <row r="127" spans="1:14" ht="18.600000000000001" customHeight="1" thickBot="1" x14ac:dyDescent="0.35">
      <c r="A127" s="44" t="s">
        <v>266</v>
      </c>
      <c r="B127" s="2">
        <v>45576</v>
      </c>
      <c r="C127" s="1" t="s">
        <v>147</v>
      </c>
      <c r="D127" s="1" t="s">
        <v>148</v>
      </c>
      <c r="E127" s="1" t="s">
        <v>105</v>
      </c>
      <c r="F127" s="1" t="s">
        <v>106</v>
      </c>
      <c r="G127" s="1" t="s">
        <v>46</v>
      </c>
      <c r="H127" s="3">
        <v>3</v>
      </c>
      <c r="I127" s="1">
        <v>299.99</v>
      </c>
      <c r="J127" s="1" t="s">
        <v>26</v>
      </c>
      <c r="K127" s="1" t="s">
        <v>21</v>
      </c>
      <c r="L127" s="1" t="s">
        <v>36</v>
      </c>
      <c r="M127" s="2">
        <v>45174</v>
      </c>
      <c r="N127" s="45">
        <f t="shared" si="1"/>
        <v>899.97</v>
      </c>
    </row>
    <row r="128" spans="1:14" ht="18.600000000000001" customHeight="1" thickBot="1" x14ac:dyDescent="0.35">
      <c r="A128" s="44" t="s">
        <v>267</v>
      </c>
      <c r="B128" s="2">
        <v>45579</v>
      </c>
      <c r="C128" s="1" t="s">
        <v>83</v>
      </c>
      <c r="D128" s="1" t="s">
        <v>84</v>
      </c>
      <c r="E128" s="1" t="s">
        <v>61</v>
      </c>
      <c r="F128" s="1" t="s">
        <v>62</v>
      </c>
      <c r="G128" s="1" t="s">
        <v>19</v>
      </c>
      <c r="H128" s="3">
        <v>3</v>
      </c>
      <c r="I128" s="1">
        <v>899.99</v>
      </c>
      <c r="J128" s="1" t="s">
        <v>34</v>
      </c>
      <c r="K128" s="1" t="s">
        <v>50</v>
      </c>
      <c r="L128" s="1" t="s">
        <v>22</v>
      </c>
      <c r="M128" s="2">
        <v>45215</v>
      </c>
      <c r="N128" s="45">
        <f t="shared" si="1"/>
        <v>2699.9700000000003</v>
      </c>
    </row>
    <row r="129" spans="1:14" ht="18.600000000000001" customHeight="1" thickBot="1" x14ac:dyDescent="0.35">
      <c r="A129" s="44" t="s">
        <v>268</v>
      </c>
      <c r="B129" s="2">
        <v>45581</v>
      </c>
      <c r="C129" s="1" t="s">
        <v>96</v>
      </c>
      <c r="D129" s="1" t="s">
        <v>97</v>
      </c>
      <c r="E129" s="1" t="s">
        <v>80</v>
      </c>
      <c r="F129" s="1" t="s">
        <v>81</v>
      </c>
      <c r="G129" s="1" t="s">
        <v>19</v>
      </c>
      <c r="H129" s="3">
        <v>5</v>
      </c>
      <c r="I129" s="1">
        <v>699.99</v>
      </c>
      <c r="J129" s="1" t="s">
        <v>20</v>
      </c>
      <c r="K129" s="1" t="s">
        <v>63</v>
      </c>
      <c r="L129" s="1" t="s">
        <v>36</v>
      </c>
      <c r="M129" s="2">
        <v>45008</v>
      </c>
      <c r="N129" s="45">
        <f t="shared" si="1"/>
        <v>3499.95</v>
      </c>
    </row>
    <row r="130" spans="1:14" ht="18.600000000000001" customHeight="1" thickBot="1" x14ac:dyDescent="0.35">
      <c r="A130" s="44" t="s">
        <v>269</v>
      </c>
      <c r="B130" s="2">
        <v>45581</v>
      </c>
      <c r="C130" s="1" t="s">
        <v>171</v>
      </c>
      <c r="D130" s="1" t="s">
        <v>172</v>
      </c>
      <c r="E130" s="1" t="s">
        <v>80</v>
      </c>
      <c r="F130" s="1" t="s">
        <v>81</v>
      </c>
      <c r="G130" s="1" t="s">
        <v>19</v>
      </c>
      <c r="H130" s="3">
        <v>4</v>
      </c>
      <c r="I130" s="1">
        <v>699.99</v>
      </c>
      <c r="J130" s="1" t="s">
        <v>26</v>
      </c>
      <c r="K130" s="1" t="s">
        <v>21</v>
      </c>
      <c r="L130" s="1" t="s">
        <v>22</v>
      </c>
      <c r="M130" s="2">
        <v>45385</v>
      </c>
      <c r="N130" s="45">
        <f t="shared" si="1"/>
        <v>2799.96</v>
      </c>
    </row>
    <row r="131" spans="1:14" ht="18.600000000000001" customHeight="1" thickBot="1" x14ac:dyDescent="0.35">
      <c r="A131" s="44" t="s">
        <v>270</v>
      </c>
      <c r="B131" s="2">
        <v>45581</v>
      </c>
      <c r="C131" s="1" t="s">
        <v>150</v>
      </c>
      <c r="D131" s="1" t="s">
        <v>151</v>
      </c>
      <c r="E131" s="1" t="s">
        <v>61</v>
      </c>
      <c r="F131" s="1" t="s">
        <v>62</v>
      </c>
      <c r="G131" s="1" t="s">
        <v>19</v>
      </c>
      <c r="H131" s="3">
        <v>1</v>
      </c>
      <c r="I131" s="1">
        <v>899.99</v>
      </c>
      <c r="J131" s="1" t="s">
        <v>26</v>
      </c>
      <c r="K131" s="1" t="s">
        <v>63</v>
      </c>
      <c r="L131" s="1" t="s">
        <v>36</v>
      </c>
      <c r="M131" s="2">
        <v>45369</v>
      </c>
      <c r="N131" s="45">
        <f t="shared" ref="N131:N194" si="2">H131*I131</f>
        <v>899.99</v>
      </c>
    </row>
    <row r="132" spans="1:14" ht="18.600000000000001" customHeight="1" thickBot="1" x14ac:dyDescent="0.35">
      <c r="A132" s="44" t="s">
        <v>271</v>
      </c>
      <c r="B132" s="2">
        <v>45583</v>
      </c>
      <c r="C132" s="1" t="s">
        <v>226</v>
      </c>
      <c r="D132" s="1" t="s">
        <v>227</v>
      </c>
      <c r="E132" s="1" t="s">
        <v>52</v>
      </c>
      <c r="F132" s="1" t="s">
        <v>53</v>
      </c>
      <c r="G132" s="1" t="s">
        <v>19</v>
      </c>
      <c r="H132" s="3">
        <v>2</v>
      </c>
      <c r="I132" s="1">
        <v>149.99</v>
      </c>
      <c r="J132" s="1" t="s">
        <v>26</v>
      </c>
      <c r="K132" s="1" t="s">
        <v>50</v>
      </c>
      <c r="L132" s="1" t="s">
        <v>22</v>
      </c>
      <c r="M132" s="2">
        <v>44916</v>
      </c>
      <c r="N132" s="45">
        <f t="shared" si="2"/>
        <v>299.98</v>
      </c>
    </row>
    <row r="133" spans="1:14" ht="18.600000000000001" customHeight="1" thickBot="1" x14ac:dyDescent="0.35">
      <c r="A133" s="44" t="s">
        <v>272</v>
      </c>
      <c r="B133" s="2">
        <v>45586</v>
      </c>
      <c r="C133" s="1" t="s">
        <v>226</v>
      </c>
      <c r="D133" s="1" t="s">
        <v>227</v>
      </c>
      <c r="E133" s="1" t="s">
        <v>117</v>
      </c>
      <c r="F133" s="1" t="s">
        <v>118</v>
      </c>
      <c r="G133" s="1" t="s">
        <v>19</v>
      </c>
      <c r="H133" s="3">
        <v>3</v>
      </c>
      <c r="I133" s="1">
        <v>89.99</v>
      </c>
      <c r="J133" s="1" t="s">
        <v>34</v>
      </c>
      <c r="K133" s="1" t="s">
        <v>21</v>
      </c>
      <c r="L133" s="1" t="s">
        <v>22</v>
      </c>
      <c r="M133" s="2">
        <v>44551</v>
      </c>
      <c r="N133" s="45">
        <f t="shared" si="2"/>
        <v>269.96999999999997</v>
      </c>
    </row>
    <row r="134" spans="1:14" ht="18.600000000000001" customHeight="1" thickBot="1" x14ac:dyDescent="0.35">
      <c r="A134" s="44" t="s">
        <v>273</v>
      </c>
      <c r="B134" s="2">
        <v>45588</v>
      </c>
      <c r="C134" s="1" t="s">
        <v>38</v>
      </c>
      <c r="D134" s="1" t="s">
        <v>39</v>
      </c>
      <c r="E134" s="1" t="s">
        <v>52</v>
      </c>
      <c r="F134" s="1" t="s">
        <v>53</v>
      </c>
      <c r="G134" s="1" t="s">
        <v>19</v>
      </c>
      <c r="H134" s="3">
        <v>2</v>
      </c>
      <c r="I134" s="1">
        <v>149.99</v>
      </c>
      <c r="J134" s="1" t="s">
        <v>34</v>
      </c>
      <c r="K134" s="1" t="s">
        <v>21</v>
      </c>
      <c r="L134" s="1" t="s">
        <v>22</v>
      </c>
      <c r="M134" s="2">
        <v>44473</v>
      </c>
      <c r="N134" s="45">
        <f t="shared" si="2"/>
        <v>299.98</v>
      </c>
    </row>
    <row r="135" spans="1:14" ht="18.600000000000001" customHeight="1" thickBot="1" x14ac:dyDescent="0.35">
      <c r="A135" s="44" t="s">
        <v>274</v>
      </c>
      <c r="B135" s="2">
        <v>45588</v>
      </c>
      <c r="C135" s="1" t="s">
        <v>154</v>
      </c>
      <c r="D135" s="1" t="s">
        <v>155</v>
      </c>
      <c r="E135" s="1" t="s">
        <v>80</v>
      </c>
      <c r="F135" s="1" t="s">
        <v>81</v>
      </c>
      <c r="G135" s="1" t="s">
        <v>19</v>
      </c>
      <c r="H135" s="3">
        <v>2</v>
      </c>
      <c r="I135" s="1">
        <v>699.99</v>
      </c>
      <c r="J135" s="1" t="s">
        <v>20</v>
      </c>
      <c r="K135" s="1" t="s">
        <v>21</v>
      </c>
      <c r="L135" s="1" t="s">
        <v>22</v>
      </c>
      <c r="M135" s="2">
        <v>44992</v>
      </c>
      <c r="N135" s="45">
        <f t="shared" si="2"/>
        <v>1399.98</v>
      </c>
    </row>
    <row r="136" spans="1:14" ht="18.600000000000001" customHeight="1" thickBot="1" x14ac:dyDescent="0.35">
      <c r="A136" s="44" t="s">
        <v>275</v>
      </c>
      <c r="B136" s="2">
        <v>45589</v>
      </c>
      <c r="C136" s="1" t="s">
        <v>158</v>
      </c>
      <c r="D136" s="1" t="s">
        <v>159</v>
      </c>
      <c r="E136" s="1" t="s">
        <v>80</v>
      </c>
      <c r="F136" s="1" t="s">
        <v>81</v>
      </c>
      <c r="G136" s="1" t="s">
        <v>19</v>
      </c>
      <c r="H136" s="3">
        <v>5</v>
      </c>
      <c r="I136" s="1">
        <v>699.99</v>
      </c>
      <c r="J136" s="1" t="s">
        <v>20</v>
      </c>
      <c r="K136" s="1" t="s">
        <v>40</v>
      </c>
      <c r="L136" s="1" t="s">
        <v>27</v>
      </c>
      <c r="M136" s="2">
        <v>44635</v>
      </c>
      <c r="N136" s="45">
        <f t="shared" si="2"/>
        <v>3499.95</v>
      </c>
    </row>
    <row r="137" spans="1:14" ht="18.600000000000001" customHeight="1" thickBot="1" x14ac:dyDescent="0.35">
      <c r="A137" s="44" t="s">
        <v>276</v>
      </c>
      <c r="B137" s="2">
        <v>45592</v>
      </c>
      <c r="C137" s="1" t="s">
        <v>171</v>
      </c>
      <c r="D137" s="1" t="s">
        <v>172</v>
      </c>
      <c r="E137" s="1" t="s">
        <v>117</v>
      </c>
      <c r="F137" s="1" t="s">
        <v>118</v>
      </c>
      <c r="G137" s="1" t="s">
        <v>19</v>
      </c>
      <c r="H137" s="3">
        <v>3</v>
      </c>
      <c r="I137" s="1">
        <v>89.99</v>
      </c>
      <c r="J137" s="1" t="s">
        <v>26</v>
      </c>
      <c r="K137" s="1" t="s">
        <v>40</v>
      </c>
      <c r="L137" s="1" t="s">
        <v>36</v>
      </c>
      <c r="M137" s="2">
        <v>44615</v>
      </c>
      <c r="N137" s="45">
        <f t="shared" si="2"/>
        <v>269.96999999999997</v>
      </c>
    </row>
    <row r="138" spans="1:14" ht="18.600000000000001" customHeight="1" thickBot="1" x14ac:dyDescent="0.35">
      <c r="A138" s="44" t="s">
        <v>277</v>
      </c>
      <c r="B138" s="2">
        <v>45597</v>
      </c>
      <c r="C138" s="1" t="s">
        <v>15</v>
      </c>
      <c r="D138" s="1" t="s">
        <v>16</v>
      </c>
      <c r="E138" s="1" t="s">
        <v>17</v>
      </c>
      <c r="F138" s="1" t="s">
        <v>18</v>
      </c>
      <c r="G138" s="1" t="s">
        <v>19</v>
      </c>
      <c r="H138" s="3">
        <v>5</v>
      </c>
      <c r="I138" s="1">
        <v>249.99</v>
      </c>
      <c r="J138" s="1" t="s">
        <v>26</v>
      </c>
      <c r="K138" s="1" t="s">
        <v>35</v>
      </c>
      <c r="L138" s="1" t="s">
        <v>36</v>
      </c>
      <c r="M138" s="2">
        <v>44881</v>
      </c>
      <c r="N138" s="45">
        <f t="shared" si="2"/>
        <v>1249.95</v>
      </c>
    </row>
    <row r="139" spans="1:14" ht="18.600000000000001" customHeight="1" thickBot="1" x14ac:dyDescent="0.35">
      <c r="A139" s="44" t="s">
        <v>278</v>
      </c>
      <c r="B139" s="2">
        <v>45600</v>
      </c>
      <c r="C139" s="1" t="s">
        <v>65</v>
      </c>
      <c r="D139" s="1" t="s">
        <v>66</v>
      </c>
      <c r="E139" s="1" t="s">
        <v>105</v>
      </c>
      <c r="F139" s="1" t="s">
        <v>106</v>
      </c>
      <c r="G139" s="1" t="s">
        <v>46</v>
      </c>
      <c r="H139" s="3">
        <v>3</v>
      </c>
      <c r="I139" s="1">
        <v>299.99</v>
      </c>
      <c r="J139" s="1" t="s">
        <v>26</v>
      </c>
      <c r="K139" s="1" t="s">
        <v>35</v>
      </c>
      <c r="L139" s="1" t="s">
        <v>36</v>
      </c>
      <c r="M139" s="2">
        <v>44502</v>
      </c>
      <c r="N139" s="45">
        <f t="shared" si="2"/>
        <v>899.97</v>
      </c>
    </row>
    <row r="140" spans="1:14" ht="18.600000000000001" customHeight="1" thickBot="1" x14ac:dyDescent="0.35">
      <c r="A140" s="44" t="s">
        <v>279</v>
      </c>
      <c r="B140" s="2">
        <v>45603</v>
      </c>
      <c r="C140" s="1" t="s">
        <v>99</v>
      </c>
      <c r="D140" s="1" t="s">
        <v>100</v>
      </c>
      <c r="E140" s="1" t="s">
        <v>117</v>
      </c>
      <c r="F140" s="1" t="s">
        <v>118</v>
      </c>
      <c r="G140" s="1" t="s">
        <v>19</v>
      </c>
      <c r="H140" s="3">
        <v>3</v>
      </c>
      <c r="I140" s="1">
        <v>89.99</v>
      </c>
      <c r="J140" s="1" t="s">
        <v>26</v>
      </c>
      <c r="K140" s="1" t="s">
        <v>40</v>
      </c>
      <c r="L140" s="1" t="s">
        <v>27</v>
      </c>
      <c r="M140" s="2">
        <v>44420</v>
      </c>
      <c r="N140" s="45">
        <f t="shared" si="2"/>
        <v>269.96999999999997</v>
      </c>
    </row>
    <row r="141" spans="1:14" ht="18.600000000000001" customHeight="1" thickBot="1" x14ac:dyDescent="0.35">
      <c r="A141" s="44" t="s">
        <v>280</v>
      </c>
      <c r="B141" s="2">
        <v>45604</v>
      </c>
      <c r="C141" s="1" t="s">
        <v>89</v>
      </c>
      <c r="D141" s="1" t="s">
        <v>90</v>
      </c>
      <c r="E141" s="1" t="s">
        <v>44</v>
      </c>
      <c r="F141" s="1" t="s">
        <v>45</v>
      </c>
      <c r="G141" s="1" t="s">
        <v>46</v>
      </c>
      <c r="H141" s="3">
        <v>2</v>
      </c>
      <c r="I141" s="1">
        <v>149.99</v>
      </c>
      <c r="J141" s="1" t="s">
        <v>26</v>
      </c>
      <c r="K141" s="1" t="s">
        <v>50</v>
      </c>
      <c r="L141" s="1" t="s">
        <v>27</v>
      </c>
      <c r="M141" s="2">
        <v>44848</v>
      </c>
      <c r="N141" s="45">
        <f t="shared" si="2"/>
        <v>299.98</v>
      </c>
    </row>
    <row r="142" spans="1:14" ht="18.600000000000001" customHeight="1" thickBot="1" x14ac:dyDescent="0.35">
      <c r="A142" s="44" t="s">
        <v>281</v>
      </c>
      <c r="B142" s="2">
        <v>45605</v>
      </c>
      <c r="C142" s="1" t="s">
        <v>185</v>
      </c>
      <c r="D142" s="1" t="s">
        <v>186</v>
      </c>
      <c r="E142" s="1" t="s">
        <v>17</v>
      </c>
      <c r="F142" s="1" t="s">
        <v>18</v>
      </c>
      <c r="G142" s="1" t="s">
        <v>19</v>
      </c>
      <c r="H142" s="3">
        <v>1</v>
      </c>
      <c r="I142" s="1">
        <v>249.99</v>
      </c>
      <c r="J142" s="1" t="s">
        <v>26</v>
      </c>
      <c r="K142" s="1" t="s">
        <v>40</v>
      </c>
      <c r="L142" s="1" t="s">
        <v>27</v>
      </c>
      <c r="M142" s="2">
        <v>44828</v>
      </c>
      <c r="N142" s="45">
        <f t="shared" si="2"/>
        <v>249.99</v>
      </c>
    </row>
    <row r="143" spans="1:14" ht="18.600000000000001" customHeight="1" thickBot="1" x14ac:dyDescent="0.35">
      <c r="A143" s="44" t="s">
        <v>282</v>
      </c>
      <c r="B143" s="2">
        <v>45607</v>
      </c>
      <c r="C143" s="1" t="s">
        <v>72</v>
      </c>
      <c r="D143" s="1" t="s">
        <v>73</v>
      </c>
      <c r="E143" s="1" t="s">
        <v>52</v>
      </c>
      <c r="F143" s="1" t="s">
        <v>53</v>
      </c>
      <c r="G143" s="1" t="s">
        <v>19</v>
      </c>
      <c r="H143" s="3">
        <v>3</v>
      </c>
      <c r="I143" s="1">
        <v>149.99</v>
      </c>
      <c r="J143" s="1" t="s">
        <v>20</v>
      </c>
      <c r="K143" s="1" t="s">
        <v>40</v>
      </c>
      <c r="L143" s="1" t="s">
        <v>22</v>
      </c>
      <c r="M143" s="2">
        <v>44769</v>
      </c>
      <c r="N143" s="45">
        <f t="shared" si="2"/>
        <v>449.97</v>
      </c>
    </row>
    <row r="144" spans="1:14" ht="18.600000000000001" customHeight="1" thickBot="1" x14ac:dyDescent="0.35">
      <c r="A144" s="44" t="s">
        <v>283</v>
      </c>
      <c r="B144" s="2">
        <v>45607</v>
      </c>
      <c r="C144" s="1" t="s">
        <v>15</v>
      </c>
      <c r="D144" s="1" t="s">
        <v>16</v>
      </c>
      <c r="E144" s="1" t="s">
        <v>31</v>
      </c>
      <c r="F144" s="1" t="s">
        <v>32</v>
      </c>
      <c r="G144" s="1" t="s">
        <v>33</v>
      </c>
      <c r="H144" s="3">
        <v>5</v>
      </c>
      <c r="I144" s="1">
        <v>59.99</v>
      </c>
      <c r="J144" s="1" t="s">
        <v>34</v>
      </c>
      <c r="K144" s="1" t="s">
        <v>50</v>
      </c>
      <c r="L144" s="1" t="s">
        <v>27</v>
      </c>
      <c r="M144" s="2">
        <v>44694</v>
      </c>
      <c r="N144" s="45">
        <f t="shared" si="2"/>
        <v>299.95</v>
      </c>
    </row>
    <row r="145" spans="1:14" ht="18.600000000000001" customHeight="1" thickBot="1" x14ac:dyDescent="0.35">
      <c r="A145" s="44" t="s">
        <v>284</v>
      </c>
      <c r="B145" s="2">
        <v>45607</v>
      </c>
      <c r="C145" s="1" t="s">
        <v>99</v>
      </c>
      <c r="D145" s="1" t="s">
        <v>100</v>
      </c>
      <c r="E145" s="1" t="s">
        <v>17</v>
      </c>
      <c r="F145" s="1" t="s">
        <v>18</v>
      </c>
      <c r="G145" s="1" t="s">
        <v>19</v>
      </c>
      <c r="H145" s="3">
        <v>4</v>
      </c>
      <c r="I145" s="1">
        <v>249.99</v>
      </c>
      <c r="J145" s="1" t="s">
        <v>26</v>
      </c>
      <c r="K145" s="1" t="s">
        <v>50</v>
      </c>
      <c r="L145" s="1" t="s">
        <v>36</v>
      </c>
      <c r="M145" s="2">
        <v>44659</v>
      </c>
      <c r="N145" s="45">
        <f t="shared" si="2"/>
        <v>999.96</v>
      </c>
    </row>
    <row r="146" spans="1:14" ht="18.600000000000001" customHeight="1" thickBot="1" x14ac:dyDescent="0.35">
      <c r="A146" s="44" t="s">
        <v>285</v>
      </c>
      <c r="B146" s="2">
        <v>45608</v>
      </c>
      <c r="C146" s="1" t="s">
        <v>154</v>
      </c>
      <c r="D146" s="1" t="s">
        <v>155</v>
      </c>
      <c r="E146" s="1" t="s">
        <v>44</v>
      </c>
      <c r="F146" s="1" t="s">
        <v>45</v>
      </c>
      <c r="G146" s="1" t="s">
        <v>46</v>
      </c>
      <c r="H146" s="3">
        <v>5</v>
      </c>
      <c r="I146" s="1">
        <v>149.99</v>
      </c>
      <c r="J146" s="1" t="s">
        <v>34</v>
      </c>
      <c r="K146" s="1" t="s">
        <v>21</v>
      </c>
      <c r="L146" s="1" t="s">
        <v>22</v>
      </c>
      <c r="M146" s="2">
        <v>44901</v>
      </c>
      <c r="N146" s="45">
        <f t="shared" si="2"/>
        <v>749.95</v>
      </c>
    </row>
    <row r="147" spans="1:14" ht="18.600000000000001" customHeight="1" thickBot="1" x14ac:dyDescent="0.35">
      <c r="A147" s="44" t="s">
        <v>286</v>
      </c>
      <c r="B147" s="2">
        <v>45608</v>
      </c>
      <c r="C147" s="1" t="s">
        <v>83</v>
      </c>
      <c r="D147" s="1" t="s">
        <v>84</v>
      </c>
      <c r="E147" s="1" t="s">
        <v>31</v>
      </c>
      <c r="F147" s="1" t="s">
        <v>32</v>
      </c>
      <c r="G147" s="1" t="s">
        <v>33</v>
      </c>
      <c r="H147" s="3">
        <v>3</v>
      </c>
      <c r="I147" s="1">
        <v>59.99</v>
      </c>
      <c r="J147" s="1" t="s">
        <v>57</v>
      </c>
      <c r="K147" s="1" t="s">
        <v>35</v>
      </c>
      <c r="L147" s="1" t="s">
        <v>36</v>
      </c>
      <c r="M147" s="2">
        <v>45260</v>
      </c>
      <c r="N147" s="45">
        <f t="shared" si="2"/>
        <v>179.97</v>
      </c>
    </row>
    <row r="148" spans="1:14" ht="18.600000000000001" customHeight="1" thickBot="1" x14ac:dyDescent="0.35">
      <c r="A148" s="44" t="s">
        <v>287</v>
      </c>
      <c r="B148" s="2">
        <v>45613</v>
      </c>
      <c r="C148" s="1" t="s">
        <v>234</v>
      </c>
      <c r="D148" s="1" t="s">
        <v>235</v>
      </c>
      <c r="E148" s="1" t="s">
        <v>44</v>
      </c>
      <c r="F148" s="1" t="s">
        <v>45</v>
      </c>
      <c r="G148" s="1" t="s">
        <v>46</v>
      </c>
      <c r="H148" s="3">
        <v>5</v>
      </c>
      <c r="I148" s="1">
        <v>149.99</v>
      </c>
      <c r="J148" s="1" t="s">
        <v>20</v>
      </c>
      <c r="K148" s="1" t="s">
        <v>40</v>
      </c>
      <c r="L148" s="1" t="s">
        <v>22</v>
      </c>
      <c r="M148" s="2">
        <v>44869</v>
      </c>
      <c r="N148" s="45">
        <f t="shared" si="2"/>
        <v>749.95</v>
      </c>
    </row>
    <row r="149" spans="1:14" ht="18.600000000000001" customHeight="1" thickBot="1" x14ac:dyDescent="0.35">
      <c r="A149" s="44" t="s">
        <v>288</v>
      </c>
      <c r="B149" s="2">
        <v>45613</v>
      </c>
      <c r="C149" s="1" t="s">
        <v>86</v>
      </c>
      <c r="D149" s="1" t="s">
        <v>87</v>
      </c>
      <c r="E149" s="1" t="s">
        <v>80</v>
      </c>
      <c r="F149" s="1" t="s">
        <v>81</v>
      </c>
      <c r="G149" s="1" t="s">
        <v>19</v>
      </c>
      <c r="H149" s="3">
        <v>2</v>
      </c>
      <c r="I149" s="1">
        <v>699.99</v>
      </c>
      <c r="J149" s="1" t="s">
        <v>34</v>
      </c>
      <c r="K149" s="1" t="s">
        <v>50</v>
      </c>
      <c r="L149" s="1" t="s">
        <v>36</v>
      </c>
      <c r="M149" s="2">
        <v>44770</v>
      </c>
      <c r="N149" s="45">
        <f t="shared" si="2"/>
        <v>1399.98</v>
      </c>
    </row>
    <row r="150" spans="1:14" ht="18.600000000000001" customHeight="1" thickBot="1" x14ac:dyDescent="0.35">
      <c r="A150" s="44" t="s">
        <v>289</v>
      </c>
      <c r="B150" s="2">
        <v>45617</v>
      </c>
      <c r="C150" s="1" t="s">
        <v>123</v>
      </c>
      <c r="D150" s="1" t="s">
        <v>124</v>
      </c>
      <c r="E150" s="1" t="s">
        <v>126</v>
      </c>
      <c r="F150" s="1" t="s">
        <v>127</v>
      </c>
      <c r="G150" s="1" t="s">
        <v>46</v>
      </c>
      <c r="H150" s="3">
        <v>4</v>
      </c>
      <c r="I150" s="1">
        <v>199.99</v>
      </c>
      <c r="J150" s="1" t="s">
        <v>57</v>
      </c>
      <c r="K150" s="1" t="s">
        <v>21</v>
      </c>
      <c r="L150" s="1" t="s">
        <v>27</v>
      </c>
      <c r="M150" s="2">
        <v>44427</v>
      </c>
      <c r="N150" s="45">
        <f t="shared" si="2"/>
        <v>799.96</v>
      </c>
    </row>
    <row r="151" spans="1:14" ht="18.600000000000001" customHeight="1" thickBot="1" x14ac:dyDescent="0.35">
      <c r="A151" s="44" t="s">
        <v>290</v>
      </c>
      <c r="B151" s="2">
        <v>45619</v>
      </c>
      <c r="C151" s="1" t="s">
        <v>192</v>
      </c>
      <c r="D151" s="1" t="s">
        <v>193</v>
      </c>
      <c r="E151" s="1" t="s">
        <v>31</v>
      </c>
      <c r="F151" s="1" t="s">
        <v>32</v>
      </c>
      <c r="G151" s="1" t="s">
        <v>33</v>
      </c>
      <c r="H151" s="3">
        <v>1</v>
      </c>
      <c r="I151" s="1">
        <v>59.99</v>
      </c>
      <c r="J151" s="1" t="s">
        <v>57</v>
      </c>
      <c r="K151" s="1" t="s">
        <v>50</v>
      </c>
      <c r="L151" s="1" t="s">
        <v>36</v>
      </c>
      <c r="M151" s="2">
        <v>44560</v>
      </c>
      <c r="N151" s="45">
        <f t="shared" si="2"/>
        <v>59.99</v>
      </c>
    </row>
    <row r="152" spans="1:14" ht="18.600000000000001" customHeight="1" thickBot="1" x14ac:dyDescent="0.35">
      <c r="A152" s="44" t="s">
        <v>291</v>
      </c>
      <c r="B152" s="2">
        <v>45619</v>
      </c>
      <c r="C152" s="1" t="s">
        <v>154</v>
      </c>
      <c r="D152" s="1" t="s">
        <v>155</v>
      </c>
      <c r="E152" s="1" t="s">
        <v>80</v>
      </c>
      <c r="F152" s="1" t="s">
        <v>81</v>
      </c>
      <c r="G152" s="1" t="s">
        <v>19</v>
      </c>
      <c r="H152" s="3">
        <v>3</v>
      </c>
      <c r="I152" s="1">
        <v>699.99</v>
      </c>
      <c r="J152" s="1" t="s">
        <v>34</v>
      </c>
      <c r="K152" s="1" t="s">
        <v>50</v>
      </c>
      <c r="L152" s="1" t="s">
        <v>36</v>
      </c>
      <c r="M152" s="2">
        <v>44583</v>
      </c>
      <c r="N152" s="45">
        <f t="shared" si="2"/>
        <v>2099.9700000000003</v>
      </c>
    </row>
    <row r="153" spans="1:14" ht="18.600000000000001" customHeight="1" thickBot="1" x14ac:dyDescent="0.35">
      <c r="A153" s="44" t="s">
        <v>292</v>
      </c>
      <c r="B153" s="2">
        <v>45622</v>
      </c>
      <c r="C153" s="1" t="s">
        <v>293</v>
      </c>
      <c r="D153" s="1" t="s">
        <v>294</v>
      </c>
      <c r="E153" s="1" t="s">
        <v>17</v>
      </c>
      <c r="F153" s="1" t="s">
        <v>18</v>
      </c>
      <c r="G153" s="1" t="s">
        <v>19</v>
      </c>
      <c r="H153" s="3">
        <v>5</v>
      </c>
      <c r="I153" s="1">
        <v>249.99</v>
      </c>
      <c r="J153" s="1" t="s">
        <v>26</v>
      </c>
      <c r="K153" s="1" t="s">
        <v>40</v>
      </c>
      <c r="L153" s="1" t="s">
        <v>22</v>
      </c>
      <c r="M153" s="2">
        <v>44873</v>
      </c>
      <c r="N153" s="45">
        <f t="shared" si="2"/>
        <v>1249.95</v>
      </c>
    </row>
    <row r="154" spans="1:14" ht="18.600000000000001" customHeight="1" thickBot="1" x14ac:dyDescent="0.35">
      <c r="A154" s="44" t="s">
        <v>295</v>
      </c>
      <c r="B154" s="2">
        <v>45623</v>
      </c>
      <c r="C154" s="1" t="s">
        <v>112</v>
      </c>
      <c r="D154" s="1" t="s">
        <v>113</v>
      </c>
      <c r="E154" s="1" t="s">
        <v>44</v>
      </c>
      <c r="F154" s="1" t="s">
        <v>45</v>
      </c>
      <c r="G154" s="1" t="s">
        <v>46</v>
      </c>
      <c r="H154" s="3">
        <v>2</v>
      </c>
      <c r="I154" s="1">
        <v>149.99</v>
      </c>
      <c r="J154" s="1" t="s">
        <v>20</v>
      </c>
      <c r="K154" s="1" t="s">
        <v>35</v>
      </c>
      <c r="L154" s="1" t="s">
        <v>36</v>
      </c>
      <c r="M154" s="2">
        <v>45101</v>
      </c>
      <c r="N154" s="45">
        <f t="shared" si="2"/>
        <v>299.98</v>
      </c>
    </row>
    <row r="155" spans="1:14" ht="18.600000000000001" customHeight="1" thickBot="1" x14ac:dyDescent="0.35">
      <c r="A155" s="44" t="s">
        <v>296</v>
      </c>
      <c r="B155" s="2">
        <v>45627</v>
      </c>
      <c r="C155" s="1" t="s">
        <v>29</v>
      </c>
      <c r="D155" s="1" t="s">
        <v>30</v>
      </c>
      <c r="E155" s="1" t="s">
        <v>105</v>
      </c>
      <c r="F155" s="1" t="s">
        <v>106</v>
      </c>
      <c r="G155" s="1" t="s">
        <v>46</v>
      </c>
      <c r="H155" s="3">
        <v>3</v>
      </c>
      <c r="I155" s="1">
        <v>299.99</v>
      </c>
      <c r="J155" s="1" t="s">
        <v>20</v>
      </c>
      <c r="K155" s="1" t="s">
        <v>35</v>
      </c>
      <c r="L155" s="1" t="s">
        <v>27</v>
      </c>
      <c r="M155" s="2">
        <v>44659</v>
      </c>
      <c r="N155" s="45">
        <f t="shared" si="2"/>
        <v>899.97</v>
      </c>
    </row>
    <row r="156" spans="1:14" ht="18.600000000000001" customHeight="1" thickBot="1" x14ac:dyDescent="0.35">
      <c r="A156" s="44" t="s">
        <v>297</v>
      </c>
      <c r="B156" s="2">
        <v>45627</v>
      </c>
      <c r="C156" s="1" t="s">
        <v>55</v>
      </c>
      <c r="D156" s="1" t="s">
        <v>56</v>
      </c>
      <c r="E156" s="1" t="s">
        <v>17</v>
      </c>
      <c r="F156" s="1" t="s">
        <v>18</v>
      </c>
      <c r="G156" s="1" t="s">
        <v>19</v>
      </c>
      <c r="H156" s="3">
        <v>5</v>
      </c>
      <c r="I156" s="1">
        <v>249.99</v>
      </c>
      <c r="J156" s="1" t="s">
        <v>20</v>
      </c>
      <c r="K156" s="1" t="s">
        <v>21</v>
      </c>
      <c r="L156" s="1" t="s">
        <v>27</v>
      </c>
      <c r="M156" s="2">
        <v>44485</v>
      </c>
      <c r="N156" s="45">
        <f t="shared" si="2"/>
        <v>1249.95</v>
      </c>
    </row>
    <row r="157" spans="1:14" ht="18.600000000000001" customHeight="1" thickBot="1" x14ac:dyDescent="0.35">
      <c r="A157" s="44" t="s">
        <v>298</v>
      </c>
      <c r="B157" s="2">
        <v>45627</v>
      </c>
      <c r="C157" s="1" t="s">
        <v>24</v>
      </c>
      <c r="D157" s="1" t="s">
        <v>25</v>
      </c>
      <c r="E157" s="1" t="s">
        <v>52</v>
      </c>
      <c r="F157" s="1" t="s">
        <v>53</v>
      </c>
      <c r="G157" s="1" t="s">
        <v>19</v>
      </c>
      <c r="H157" s="3">
        <v>2</v>
      </c>
      <c r="I157" s="1">
        <v>149.99</v>
      </c>
      <c r="J157" s="1" t="s">
        <v>20</v>
      </c>
      <c r="K157" s="1" t="s">
        <v>35</v>
      </c>
      <c r="L157" s="1" t="s">
        <v>27</v>
      </c>
      <c r="M157" s="2">
        <v>44475</v>
      </c>
      <c r="N157" s="45">
        <f t="shared" si="2"/>
        <v>299.98</v>
      </c>
    </row>
    <row r="158" spans="1:14" ht="18.600000000000001" customHeight="1" thickBot="1" x14ac:dyDescent="0.35">
      <c r="A158" s="44" t="s">
        <v>299</v>
      </c>
      <c r="B158" s="2">
        <v>45627</v>
      </c>
      <c r="C158" s="1" t="s">
        <v>86</v>
      </c>
      <c r="D158" s="1" t="s">
        <v>87</v>
      </c>
      <c r="E158" s="1" t="s">
        <v>80</v>
      </c>
      <c r="F158" s="1" t="s">
        <v>81</v>
      </c>
      <c r="G158" s="1" t="s">
        <v>19</v>
      </c>
      <c r="H158" s="3">
        <v>5</v>
      </c>
      <c r="I158" s="1">
        <v>699.99</v>
      </c>
      <c r="J158" s="1" t="s">
        <v>57</v>
      </c>
      <c r="K158" s="1" t="s">
        <v>50</v>
      </c>
      <c r="L158" s="1" t="s">
        <v>36</v>
      </c>
      <c r="M158" s="2">
        <v>44944</v>
      </c>
      <c r="N158" s="45">
        <f t="shared" si="2"/>
        <v>3499.95</v>
      </c>
    </row>
    <row r="159" spans="1:14" ht="18.600000000000001" customHeight="1" thickBot="1" x14ac:dyDescent="0.35">
      <c r="A159" s="44" t="s">
        <v>300</v>
      </c>
      <c r="B159" s="2">
        <v>45629</v>
      </c>
      <c r="C159" s="1" t="s">
        <v>252</v>
      </c>
      <c r="D159" s="1" t="s">
        <v>253</v>
      </c>
      <c r="E159" s="1" t="s">
        <v>17</v>
      </c>
      <c r="F159" s="1" t="s">
        <v>18</v>
      </c>
      <c r="G159" s="1" t="s">
        <v>19</v>
      </c>
      <c r="H159" s="3">
        <v>4</v>
      </c>
      <c r="I159" s="1">
        <v>249.99</v>
      </c>
      <c r="J159" s="1" t="s">
        <v>34</v>
      </c>
      <c r="K159" s="1" t="s">
        <v>63</v>
      </c>
      <c r="L159" s="1" t="s">
        <v>27</v>
      </c>
      <c r="M159" s="2">
        <v>45098</v>
      </c>
      <c r="N159" s="45">
        <f t="shared" si="2"/>
        <v>999.96</v>
      </c>
    </row>
    <row r="160" spans="1:14" ht="18.600000000000001" customHeight="1" thickBot="1" x14ac:dyDescent="0.35">
      <c r="A160" s="44" t="s">
        <v>301</v>
      </c>
      <c r="B160" s="2">
        <v>45630</v>
      </c>
      <c r="C160" s="1" t="s">
        <v>48</v>
      </c>
      <c r="D160" s="1" t="s">
        <v>49</v>
      </c>
      <c r="E160" s="1" t="s">
        <v>80</v>
      </c>
      <c r="F160" s="1" t="s">
        <v>81</v>
      </c>
      <c r="G160" s="1" t="s">
        <v>19</v>
      </c>
      <c r="H160" s="3">
        <v>4</v>
      </c>
      <c r="I160" s="1">
        <v>699.99</v>
      </c>
      <c r="J160" s="1" t="s">
        <v>26</v>
      </c>
      <c r="K160" s="1" t="s">
        <v>40</v>
      </c>
      <c r="L160" s="1" t="s">
        <v>27</v>
      </c>
      <c r="M160" s="2">
        <v>44703</v>
      </c>
      <c r="N160" s="45">
        <f t="shared" si="2"/>
        <v>2799.96</v>
      </c>
    </row>
    <row r="161" spans="1:14" ht="18.600000000000001" customHeight="1" thickBot="1" x14ac:dyDescent="0.35">
      <c r="A161" s="44" t="s">
        <v>302</v>
      </c>
      <c r="B161" s="2">
        <v>45635</v>
      </c>
      <c r="C161" s="1" t="s">
        <v>108</v>
      </c>
      <c r="D161" s="1" t="s">
        <v>109</v>
      </c>
      <c r="E161" s="1" t="s">
        <v>17</v>
      </c>
      <c r="F161" s="1" t="s">
        <v>18</v>
      </c>
      <c r="G161" s="1" t="s">
        <v>19</v>
      </c>
      <c r="H161" s="3">
        <v>2</v>
      </c>
      <c r="I161" s="1">
        <v>249.99</v>
      </c>
      <c r="J161" s="1" t="s">
        <v>26</v>
      </c>
      <c r="K161" s="1" t="s">
        <v>21</v>
      </c>
      <c r="L161" s="1" t="s">
        <v>27</v>
      </c>
      <c r="M161" s="2">
        <v>44396</v>
      </c>
      <c r="N161" s="45">
        <f t="shared" si="2"/>
        <v>499.98</v>
      </c>
    </row>
    <row r="162" spans="1:14" ht="18.600000000000001" customHeight="1" thickBot="1" x14ac:dyDescent="0.35">
      <c r="A162" s="44" t="s">
        <v>303</v>
      </c>
      <c r="B162" s="2">
        <v>45635</v>
      </c>
      <c r="C162" s="1" t="s">
        <v>304</v>
      </c>
      <c r="D162" s="1" t="s">
        <v>305</v>
      </c>
      <c r="E162" s="1" t="s">
        <v>31</v>
      </c>
      <c r="F162" s="1" t="s">
        <v>32</v>
      </c>
      <c r="G162" s="1" t="s">
        <v>33</v>
      </c>
      <c r="H162" s="3">
        <v>3</v>
      </c>
      <c r="I162" s="1">
        <v>59.99</v>
      </c>
      <c r="J162" s="1" t="s">
        <v>20</v>
      </c>
      <c r="K162" s="1" t="s">
        <v>21</v>
      </c>
      <c r="L162" s="1" t="s">
        <v>27</v>
      </c>
      <c r="M162" s="2">
        <v>45052</v>
      </c>
      <c r="N162" s="45">
        <f t="shared" si="2"/>
        <v>179.97</v>
      </c>
    </row>
    <row r="163" spans="1:14" ht="18.600000000000001" customHeight="1" thickBot="1" x14ac:dyDescent="0.35">
      <c r="A163" s="44" t="s">
        <v>306</v>
      </c>
      <c r="B163" s="2">
        <v>45635</v>
      </c>
      <c r="C163" s="1" t="s">
        <v>141</v>
      </c>
      <c r="D163" s="1" t="s">
        <v>142</v>
      </c>
      <c r="E163" s="1" t="s">
        <v>114</v>
      </c>
      <c r="F163" s="1" t="s">
        <v>115</v>
      </c>
      <c r="G163" s="1" t="s">
        <v>33</v>
      </c>
      <c r="H163" s="3">
        <v>4</v>
      </c>
      <c r="I163" s="1">
        <v>79.989999999999995</v>
      </c>
      <c r="J163" s="1" t="s">
        <v>57</v>
      </c>
      <c r="K163" s="1" t="s">
        <v>63</v>
      </c>
      <c r="L163" s="1" t="s">
        <v>36</v>
      </c>
      <c r="M163" s="2">
        <v>44921</v>
      </c>
      <c r="N163" s="45">
        <f t="shared" si="2"/>
        <v>319.95999999999998</v>
      </c>
    </row>
    <row r="164" spans="1:14" ht="18.600000000000001" customHeight="1" thickBot="1" x14ac:dyDescent="0.35">
      <c r="A164" s="44" t="s">
        <v>307</v>
      </c>
      <c r="B164" s="2">
        <v>45636</v>
      </c>
      <c r="C164" s="1" t="s">
        <v>120</v>
      </c>
      <c r="D164" s="1" t="s">
        <v>121</v>
      </c>
      <c r="E164" s="1" t="s">
        <v>114</v>
      </c>
      <c r="F164" s="1" t="s">
        <v>115</v>
      </c>
      <c r="G164" s="1" t="s">
        <v>33</v>
      </c>
      <c r="H164" s="3">
        <v>3</v>
      </c>
      <c r="I164" s="1">
        <v>79.989999999999995</v>
      </c>
      <c r="J164" s="1" t="s">
        <v>57</v>
      </c>
      <c r="K164" s="1" t="s">
        <v>63</v>
      </c>
      <c r="L164" s="1" t="s">
        <v>36</v>
      </c>
      <c r="M164" s="2">
        <v>44779</v>
      </c>
      <c r="N164" s="45">
        <f t="shared" si="2"/>
        <v>239.96999999999997</v>
      </c>
    </row>
    <row r="165" spans="1:14" ht="18.600000000000001" customHeight="1" thickBot="1" x14ac:dyDescent="0.35">
      <c r="A165" s="44" t="s">
        <v>308</v>
      </c>
      <c r="B165" s="2">
        <v>45638</v>
      </c>
      <c r="C165" s="1" t="s">
        <v>72</v>
      </c>
      <c r="D165" s="1" t="s">
        <v>73</v>
      </c>
      <c r="E165" s="1" t="s">
        <v>61</v>
      </c>
      <c r="F165" s="1" t="s">
        <v>62</v>
      </c>
      <c r="G165" s="1" t="s">
        <v>19</v>
      </c>
      <c r="H165" s="3">
        <v>2</v>
      </c>
      <c r="I165" s="1">
        <v>899.99</v>
      </c>
      <c r="J165" s="1" t="s">
        <v>20</v>
      </c>
      <c r="K165" s="1" t="s">
        <v>40</v>
      </c>
      <c r="L165" s="1" t="s">
        <v>22</v>
      </c>
      <c r="M165" s="2">
        <v>44406</v>
      </c>
      <c r="N165" s="45">
        <f t="shared" si="2"/>
        <v>1799.98</v>
      </c>
    </row>
    <row r="166" spans="1:14" ht="18.600000000000001" customHeight="1" thickBot="1" x14ac:dyDescent="0.35">
      <c r="A166" s="44" t="s">
        <v>309</v>
      </c>
      <c r="B166" s="2">
        <v>45641</v>
      </c>
      <c r="C166" s="1" t="s">
        <v>182</v>
      </c>
      <c r="D166" s="1" t="s">
        <v>183</v>
      </c>
      <c r="E166" s="1" t="s">
        <v>44</v>
      </c>
      <c r="F166" s="1" t="s">
        <v>45</v>
      </c>
      <c r="G166" s="1" t="s">
        <v>46</v>
      </c>
      <c r="H166" s="3">
        <v>1</v>
      </c>
      <c r="I166" s="1">
        <v>149.99</v>
      </c>
      <c r="J166" s="1" t="s">
        <v>57</v>
      </c>
      <c r="K166" s="1" t="s">
        <v>63</v>
      </c>
      <c r="L166" s="1" t="s">
        <v>36</v>
      </c>
      <c r="M166" s="2">
        <v>45200</v>
      </c>
      <c r="N166" s="45">
        <f t="shared" si="2"/>
        <v>149.99</v>
      </c>
    </row>
    <row r="167" spans="1:14" ht="18.600000000000001" customHeight="1" thickBot="1" x14ac:dyDescent="0.35">
      <c r="A167" s="44" t="s">
        <v>310</v>
      </c>
      <c r="B167" s="2">
        <v>45641</v>
      </c>
      <c r="C167" s="1" t="s">
        <v>138</v>
      </c>
      <c r="D167" s="1" t="s">
        <v>139</v>
      </c>
      <c r="E167" s="1" t="s">
        <v>105</v>
      </c>
      <c r="F167" s="1" t="s">
        <v>106</v>
      </c>
      <c r="G167" s="1" t="s">
        <v>46</v>
      </c>
      <c r="H167" s="3">
        <v>2</v>
      </c>
      <c r="I167" s="1">
        <v>299.99</v>
      </c>
      <c r="J167" s="1" t="s">
        <v>20</v>
      </c>
      <c r="K167" s="1" t="s">
        <v>63</v>
      </c>
      <c r="L167" s="1" t="s">
        <v>27</v>
      </c>
      <c r="M167" s="2">
        <v>44724</v>
      </c>
      <c r="N167" s="45">
        <f t="shared" si="2"/>
        <v>599.98</v>
      </c>
    </row>
    <row r="168" spans="1:14" ht="18.600000000000001" customHeight="1" thickBot="1" x14ac:dyDescent="0.35">
      <c r="A168" s="44" t="s">
        <v>311</v>
      </c>
      <c r="B168" s="2">
        <v>45644</v>
      </c>
      <c r="C168" s="1" t="s">
        <v>132</v>
      </c>
      <c r="D168" s="1" t="s">
        <v>133</v>
      </c>
      <c r="E168" s="1" t="s">
        <v>31</v>
      </c>
      <c r="F168" s="1" t="s">
        <v>32</v>
      </c>
      <c r="G168" s="1" t="s">
        <v>33</v>
      </c>
      <c r="H168" s="3">
        <v>2</v>
      </c>
      <c r="I168" s="1">
        <v>59.99</v>
      </c>
      <c r="J168" s="1" t="s">
        <v>20</v>
      </c>
      <c r="K168" s="1" t="s">
        <v>50</v>
      </c>
      <c r="L168" s="1" t="s">
        <v>22</v>
      </c>
      <c r="M168" s="2">
        <v>45191</v>
      </c>
      <c r="N168" s="45">
        <f t="shared" si="2"/>
        <v>119.98</v>
      </c>
    </row>
    <row r="169" spans="1:14" ht="18.600000000000001" customHeight="1" thickBot="1" x14ac:dyDescent="0.35">
      <c r="A169" s="44" t="s">
        <v>312</v>
      </c>
      <c r="B169" s="2">
        <v>45645</v>
      </c>
      <c r="C169" s="1" t="s">
        <v>182</v>
      </c>
      <c r="D169" s="1" t="s">
        <v>183</v>
      </c>
      <c r="E169" s="1" t="s">
        <v>117</v>
      </c>
      <c r="F169" s="1" t="s">
        <v>118</v>
      </c>
      <c r="G169" s="1" t="s">
        <v>19</v>
      </c>
      <c r="H169" s="3">
        <v>1</v>
      </c>
      <c r="I169" s="1">
        <v>89.99</v>
      </c>
      <c r="J169" s="1" t="s">
        <v>57</v>
      </c>
      <c r="K169" s="1" t="s">
        <v>21</v>
      </c>
      <c r="L169" s="1" t="s">
        <v>36</v>
      </c>
      <c r="M169" s="2">
        <v>44760</v>
      </c>
      <c r="N169" s="45">
        <f t="shared" si="2"/>
        <v>89.99</v>
      </c>
    </row>
    <row r="170" spans="1:14" ht="18.600000000000001" customHeight="1" thickBot="1" x14ac:dyDescent="0.35">
      <c r="A170" s="44" t="s">
        <v>313</v>
      </c>
      <c r="B170" s="2">
        <v>45645</v>
      </c>
      <c r="C170" s="1" t="s">
        <v>147</v>
      </c>
      <c r="D170" s="1" t="s">
        <v>148</v>
      </c>
      <c r="E170" s="1" t="s">
        <v>61</v>
      </c>
      <c r="F170" s="1" t="s">
        <v>62</v>
      </c>
      <c r="G170" s="1" t="s">
        <v>19</v>
      </c>
      <c r="H170" s="3">
        <v>5</v>
      </c>
      <c r="I170" s="1">
        <v>899.99</v>
      </c>
      <c r="J170" s="1" t="s">
        <v>57</v>
      </c>
      <c r="K170" s="1" t="s">
        <v>63</v>
      </c>
      <c r="L170" s="1" t="s">
        <v>36</v>
      </c>
      <c r="M170" s="2">
        <v>44625</v>
      </c>
      <c r="N170" s="45">
        <f t="shared" si="2"/>
        <v>4499.95</v>
      </c>
    </row>
    <row r="171" spans="1:14" ht="18.600000000000001" customHeight="1" thickBot="1" x14ac:dyDescent="0.35">
      <c r="A171" s="44" t="s">
        <v>314</v>
      </c>
      <c r="B171" s="2">
        <v>45646</v>
      </c>
      <c r="C171" s="1" t="s">
        <v>42</v>
      </c>
      <c r="D171" s="1" t="s">
        <v>43</v>
      </c>
      <c r="E171" s="1" t="s">
        <v>44</v>
      </c>
      <c r="F171" s="1" t="s">
        <v>45</v>
      </c>
      <c r="G171" s="1" t="s">
        <v>46</v>
      </c>
      <c r="H171" s="3">
        <v>2</v>
      </c>
      <c r="I171" s="1">
        <v>149.99</v>
      </c>
      <c r="J171" s="1" t="s">
        <v>20</v>
      </c>
      <c r="K171" s="1" t="s">
        <v>35</v>
      </c>
      <c r="L171" s="1" t="s">
        <v>22</v>
      </c>
      <c r="M171" s="2">
        <v>45239</v>
      </c>
      <c r="N171" s="45">
        <f t="shared" si="2"/>
        <v>299.98</v>
      </c>
    </row>
    <row r="172" spans="1:14" ht="18.600000000000001" customHeight="1" thickBot="1" x14ac:dyDescent="0.35">
      <c r="A172" s="44" t="s">
        <v>315</v>
      </c>
      <c r="B172" s="2">
        <v>45648</v>
      </c>
      <c r="C172" s="1" t="s">
        <v>112</v>
      </c>
      <c r="D172" s="1" t="s">
        <v>113</v>
      </c>
      <c r="E172" s="1" t="s">
        <v>52</v>
      </c>
      <c r="F172" s="1" t="s">
        <v>53</v>
      </c>
      <c r="G172" s="1" t="s">
        <v>19</v>
      </c>
      <c r="H172" s="3">
        <v>2</v>
      </c>
      <c r="I172" s="1">
        <v>149.99</v>
      </c>
      <c r="J172" s="1" t="s">
        <v>57</v>
      </c>
      <c r="K172" s="1" t="s">
        <v>50</v>
      </c>
      <c r="L172" s="1" t="s">
        <v>27</v>
      </c>
      <c r="M172" s="2">
        <v>45280</v>
      </c>
      <c r="N172" s="45">
        <f t="shared" si="2"/>
        <v>299.98</v>
      </c>
    </row>
    <row r="173" spans="1:14" ht="18.600000000000001" customHeight="1" thickBot="1" x14ac:dyDescent="0.35">
      <c r="A173" s="44" t="s">
        <v>316</v>
      </c>
      <c r="B173" s="2">
        <v>45648</v>
      </c>
      <c r="C173" s="1" t="s">
        <v>182</v>
      </c>
      <c r="D173" s="1" t="s">
        <v>183</v>
      </c>
      <c r="E173" s="1" t="s">
        <v>44</v>
      </c>
      <c r="F173" s="1" t="s">
        <v>45</v>
      </c>
      <c r="G173" s="1" t="s">
        <v>46</v>
      </c>
      <c r="H173" s="3">
        <v>3</v>
      </c>
      <c r="I173" s="1">
        <v>149.99</v>
      </c>
      <c r="J173" s="1" t="s">
        <v>57</v>
      </c>
      <c r="K173" s="1" t="s">
        <v>40</v>
      </c>
      <c r="L173" s="1" t="s">
        <v>36</v>
      </c>
      <c r="M173" s="2">
        <v>44522</v>
      </c>
      <c r="N173" s="45">
        <f t="shared" si="2"/>
        <v>449.97</v>
      </c>
    </row>
    <row r="174" spans="1:14" ht="18.600000000000001" customHeight="1" thickBot="1" x14ac:dyDescent="0.35">
      <c r="A174" s="44" t="s">
        <v>317</v>
      </c>
      <c r="B174" s="2">
        <v>45649</v>
      </c>
      <c r="C174" s="1" t="s">
        <v>29</v>
      </c>
      <c r="D174" s="1" t="s">
        <v>30</v>
      </c>
      <c r="E174" s="1" t="s">
        <v>105</v>
      </c>
      <c r="F174" s="1" t="s">
        <v>106</v>
      </c>
      <c r="G174" s="1" t="s">
        <v>46</v>
      </c>
      <c r="H174" s="3">
        <v>2</v>
      </c>
      <c r="I174" s="1">
        <v>299.99</v>
      </c>
      <c r="J174" s="1" t="s">
        <v>34</v>
      </c>
      <c r="K174" s="1" t="s">
        <v>35</v>
      </c>
      <c r="L174" s="1" t="s">
        <v>22</v>
      </c>
      <c r="M174" s="2">
        <v>44721</v>
      </c>
      <c r="N174" s="45">
        <f t="shared" si="2"/>
        <v>599.98</v>
      </c>
    </row>
    <row r="175" spans="1:14" ht="18.600000000000001" customHeight="1" thickBot="1" x14ac:dyDescent="0.35">
      <c r="A175" s="44" t="s">
        <v>318</v>
      </c>
      <c r="B175" s="2">
        <v>45654</v>
      </c>
      <c r="C175" s="1" t="s">
        <v>42</v>
      </c>
      <c r="D175" s="1" t="s">
        <v>43</v>
      </c>
      <c r="E175" s="1" t="s">
        <v>105</v>
      </c>
      <c r="F175" s="1" t="s">
        <v>106</v>
      </c>
      <c r="G175" s="1" t="s">
        <v>46</v>
      </c>
      <c r="H175" s="3">
        <v>2</v>
      </c>
      <c r="I175" s="1">
        <v>299.99</v>
      </c>
      <c r="J175" s="1" t="s">
        <v>20</v>
      </c>
      <c r="K175" s="1" t="s">
        <v>50</v>
      </c>
      <c r="L175" s="1" t="s">
        <v>22</v>
      </c>
      <c r="M175" s="2">
        <v>44771</v>
      </c>
      <c r="N175" s="45">
        <f t="shared" si="2"/>
        <v>599.98</v>
      </c>
    </row>
    <row r="176" spans="1:14" ht="18.600000000000001" customHeight="1" thickBot="1" x14ac:dyDescent="0.35">
      <c r="A176" s="44" t="s">
        <v>319</v>
      </c>
      <c r="B176" s="2">
        <v>45654</v>
      </c>
      <c r="C176" s="1" t="s">
        <v>120</v>
      </c>
      <c r="D176" s="1" t="s">
        <v>121</v>
      </c>
      <c r="E176" s="1" t="s">
        <v>126</v>
      </c>
      <c r="F176" s="1" t="s">
        <v>127</v>
      </c>
      <c r="G176" s="1" t="s">
        <v>46</v>
      </c>
      <c r="H176" s="3">
        <v>4</v>
      </c>
      <c r="I176" s="1">
        <v>199.99</v>
      </c>
      <c r="J176" s="1" t="s">
        <v>26</v>
      </c>
      <c r="K176" s="1" t="s">
        <v>21</v>
      </c>
      <c r="L176" s="1" t="s">
        <v>22</v>
      </c>
      <c r="M176" s="2">
        <v>44523</v>
      </c>
      <c r="N176" s="45">
        <f t="shared" si="2"/>
        <v>799.96</v>
      </c>
    </row>
    <row r="177" spans="1:14" ht="18.600000000000001" customHeight="1" thickBot="1" x14ac:dyDescent="0.35">
      <c r="A177" s="44" t="s">
        <v>320</v>
      </c>
      <c r="B177" s="2">
        <v>45655</v>
      </c>
      <c r="C177" s="1" t="s">
        <v>59</v>
      </c>
      <c r="D177" s="1" t="s">
        <v>60</v>
      </c>
      <c r="E177" s="1" t="s">
        <v>117</v>
      </c>
      <c r="F177" s="1" t="s">
        <v>118</v>
      </c>
      <c r="G177" s="1" t="s">
        <v>19</v>
      </c>
      <c r="H177" s="3">
        <v>1</v>
      </c>
      <c r="I177" s="1">
        <v>89.99</v>
      </c>
      <c r="J177" s="1" t="s">
        <v>26</v>
      </c>
      <c r="K177" s="1" t="s">
        <v>35</v>
      </c>
      <c r="L177" s="1" t="s">
        <v>27</v>
      </c>
      <c r="M177" s="2">
        <v>44591</v>
      </c>
      <c r="N177" s="45">
        <f t="shared" si="2"/>
        <v>89.99</v>
      </c>
    </row>
    <row r="178" spans="1:14" ht="18.600000000000001" customHeight="1" thickBot="1" x14ac:dyDescent="0.35">
      <c r="A178" s="44" t="s">
        <v>321</v>
      </c>
      <c r="B178" s="2">
        <v>45655</v>
      </c>
      <c r="C178" s="1" t="s">
        <v>108</v>
      </c>
      <c r="D178" s="1" t="s">
        <v>109</v>
      </c>
      <c r="E178" s="1" t="s">
        <v>44</v>
      </c>
      <c r="F178" s="1" t="s">
        <v>45</v>
      </c>
      <c r="G178" s="1" t="s">
        <v>46</v>
      </c>
      <c r="H178" s="3">
        <v>5</v>
      </c>
      <c r="I178" s="1">
        <v>149.99</v>
      </c>
      <c r="J178" s="1" t="s">
        <v>20</v>
      </c>
      <c r="K178" s="1" t="s">
        <v>21</v>
      </c>
      <c r="L178" s="1" t="s">
        <v>27</v>
      </c>
      <c r="M178" s="2">
        <v>45347</v>
      </c>
      <c r="N178" s="45">
        <f t="shared" si="2"/>
        <v>749.95</v>
      </c>
    </row>
    <row r="179" spans="1:14" ht="18.600000000000001" customHeight="1" thickBot="1" x14ac:dyDescent="0.35">
      <c r="A179" s="44" t="s">
        <v>322</v>
      </c>
      <c r="B179" s="2">
        <v>45657</v>
      </c>
      <c r="C179" s="1" t="s">
        <v>86</v>
      </c>
      <c r="D179" s="1" t="s">
        <v>87</v>
      </c>
      <c r="E179" s="1" t="s">
        <v>61</v>
      </c>
      <c r="F179" s="1" t="s">
        <v>62</v>
      </c>
      <c r="G179" s="1" t="s">
        <v>19</v>
      </c>
      <c r="H179" s="3">
        <v>1</v>
      </c>
      <c r="I179" s="1">
        <v>899.99</v>
      </c>
      <c r="J179" s="1" t="s">
        <v>34</v>
      </c>
      <c r="K179" s="1" t="s">
        <v>40</v>
      </c>
      <c r="L179" s="1" t="s">
        <v>27</v>
      </c>
      <c r="M179" s="2">
        <v>45050</v>
      </c>
      <c r="N179" s="45">
        <f t="shared" si="2"/>
        <v>899.99</v>
      </c>
    </row>
    <row r="180" spans="1:14" ht="18.600000000000001" customHeight="1" thickBot="1" x14ac:dyDescent="0.35">
      <c r="A180" s="44" t="s">
        <v>323</v>
      </c>
      <c r="B180" s="2">
        <v>45660</v>
      </c>
      <c r="C180" s="1" t="s">
        <v>147</v>
      </c>
      <c r="D180" s="1" t="s">
        <v>148</v>
      </c>
      <c r="E180" s="1" t="s">
        <v>117</v>
      </c>
      <c r="F180" s="1" t="s">
        <v>118</v>
      </c>
      <c r="G180" s="1" t="s">
        <v>19</v>
      </c>
      <c r="H180" s="3">
        <v>2</v>
      </c>
      <c r="I180" s="1">
        <v>89.99</v>
      </c>
      <c r="J180" s="1" t="s">
        <v>26</v>
      </c>
      <c r="K180" s="1" t="s">
        <v>35</v>
      </c>
      <c r="L180" s="1" t="s">
        <v>27</v>
      </c>
      <c r="M180" s="2">
        <v>44564</v>
      </c>
      <c r="N180" s="45">
        <f t="shared" si="2"/>
        <v>179.98</v>
      </c>
    </row>
    <row r="181" spans="1:14" ht="18.600000000000001" customHeight="1" thickBot="1" x14ac:dyDescent="0.35">
      <c r="A181" s="44" t="s">
        <v>324</v>
      </c>
      <c r="B181" s="2">
        <v>45661</v>
      </c>
      <c r="C181" s="1" t="s">
        <v>325</v>
      </c>
      <c r="D181" s="1" t="s">
        <v>326</v>
      </c>
      <c r="E181" s="1" t="s">
        <v>61</v>
      </c>
      <c r="F181" s="1" t="s">
        <v>62</v>
      </c>
      <c r="G181" s="1" t="s">
        <v>19</v>
      </c>
      <c r="H181" s="3">
        <v>1</v>
      </c>
      <c r="I181" s="1">
        <v>899.99</v>
      </c>
      <c r="J181" s="1" t="s">
        <v>34</v>
      </c>
      <c r="K181" s="1" t="s">
        <v>40</v>
      </c>
      <c r="L181" s="1" t="s">
        <v>36</v>
      </c>
      <c r="M181" s="2">
        <v>44752</v>
      </c>
      <c r="N181" s="45">
        <f t="shared" si="2"/>
        <v>899.99</v>
      </c>
    </row>
    <row r="182" spans="1:14" ht="18.600000000000001" customHeight="1" thickBot="1" x14ac:dyDescent="0.35">
      <c r="A182" s="44" t="s">
        <v>327</v>
      </c>
      <c r="B182" s="2">
        <v>45663</v>
      </c>
      <c r="C182" s="1" t="s">
        <v>129</v>
      </c>
      <c r="D182" s="1" t="s">
        <v>130</v>
      </c>
      <c r="E182" s="1" t="s">
        <v>52</v>
      </c>
      <c r="F182" s="1" t="s">
        <v>53</v>
      </c>
      <c r="G182" s="1" t="s">
        <v>19</v>
      </c>
      <c r="H182" s="3">
        <v>5</v>
      </c>
      <c r="I182" s="1">
        <v>149.99</v>
      </c>
      <c r="J182" s="1" t="s">
        <v>34</v>
      </c>
      <c r="K182" s="1" t="s">
        <v>63</v>
      </c>
      <c r="L182" s="1" t="s">
        <v>27</v>
      </c>
      <c r="M182" s="2">
        <v>44824</v>
      </c>
      <c r="N182" s="45">
        <f t="shared" si="2"/>
        <v>749.95</v>
      </c>
    </row>
    <row r="183" spans="1:14" ht="18.600000000000001" customHeight="1" thickBot="1" x14ac:dyDescent="0.35">
      <c r="A183" s="44" t="s">
        <v>328</v>
      </c>
      <c r="B183" s="2">
        <v>45663</v>
      </c>
      <c r="C183" s="1" t="s">
        <v>42</v>
      </c>
      <c r="D183" s="1" t="s">
        <v>43</v>
      </c>
      <c r="E183" s="1" t="s">
        <v>105</v>
      </c>
      <c r="F183" s="1" t="s">
        <v>106</v>
      </c>
      <c r="G183" s="1" t="s">
        <v>46</v>
      </c>
      <c r="H183" s="3">
        <v>3</v>
      </c>
      <c r="I183" s="1">
        <v>299.99</v>
      </c>
      <c r="J183" s="1" t="s">
        <v>20</v>
      </c>
      <c r="K183" s="1" t="s">
        <v>35</v>
      </c>
      <c r="L183" s="1" t="s">
        <v>36</v>
      </c>
      <c r="M183" s="2">
        <v>44422</v>
      </c>
      <c r="N183" s="45">
        <f t="shared" si="2"/>
        <v>899.97</v>
      </c>
    </row>
    <row r="184" spans="1:14" ht="18.600000000000001" customHeight="1" thickBot="1" x14ac:dyDescent="0.35">
      <c r="A184" s="44" t="s">
        <v>329</v>
      </c>
      <c r="B184" s="2">
        <v>45666</v>
      </c>
      <c r="C184" s="1" t="s">
        <v>65</v>
      </c>
      <c r="D184" s="1" t="s">
        <v>66</v>
      </c>
      <c r="E184" s="1" t="s">
        <v>80</v>
      </c>
      <c r="F184" s="1" t="s">
        <v>81</v>
      </c>
      <c r="G184" s="1" t="s">
        <v>19</v>
      </c>
      <c r="H184" s="3">
        <v>3</v>
      </c>
      <c r="I184" s="1">
        <v>699.99</v>
      </c>
      <c r="J184" s="1" t="s">
        <v>26</v>
      </c>
      <c r="K184" s="1" t="s">
        <v>21</v>
      </c>
      <c r="L184" s="1" t="s">
        <v>27</v>
      </c>
      <c r="M184" s="2">
        <v>45105</v>
      </c>
      <c r="N184" s="45">
        <f t="shared" si="2"/>
        <v>2099.9700000000003</v>
      </c>
    </row>
    <row r="185" spans="1:14" ht="18.600000000000001" customHeight="1" thickBot="1" x14ac:dyDescent="0.35">
      <c r="A185" s="44" t="s">
        <v>330</v>
      </c>
      <c r="B185" s="2">
        <v>45667</v>
      </c>
      <c r="C185" s="1" t="s">
        <v>108</v>
      </c>
      <c r="D185" s="1" t="s">
        <v>109</v>
      </c>
      <c r="E185" s="1" t="s">
        <v>126</v>
      </c>
      <c r="F185" s="1" t="s">
        <v>127</v>
      </c>
      <c r="G185" s="1" t="s">
        <v>46</v>
      </c>
      <c r="H185" s="3">
        <v>5</v>
      </c>
      <c r="I185" s="1">
        <v>199.99</v>
      </c>
      <c r="J185" s="1" t="s">
        <v>34</v>
      </c>
      <c r="K185" s="1" t="s">
        <v>21</v>
      </c>
      <c r="L185" s="1" t="s">
        <v>36</v>
      </c>
      <c r="M185" s="2">
        <v>44633</v>
      </c>
      <c r="N185" s="45">
        <f t="shared" si="2"/>
        <v>999.95</v>
      </c>
    </row>
    <row r="186" spans="1:14" ht="18.600000000000001" customHeight="1" thickBot="1" x14ac:dyDescent="0.35">
      <c r="A186" s="44" t="s">
        <v>331</v>
      </c>
      <c r="B186" s="2">
        <v>45667</v>
      </c>
      <c r="C186" s="1" t="s">
        <v>93</v>
      </c>
      <c r="D186" s="1" t="s">
        <v>94</v>
      </c>
      <c r="E186" s="1" t="s">
        <v>17</v>
      </c>
      <c r="F186" s="1" t="s">
        <v>18</v>
      </c>
      <c r="G186" s="1" t="s">
        <v>19</v>
      </c>
      <c r="H186" s="3">
        <v>5</v>
      </c>
      <c r="I186" s="1">
        <v>249.99</v>
      </c>
      <c r="J186" s="1" t="s">
        <v>26</v>
      </c>
      <c r="K186" s="1" t="s">
        <v>35</v>
      </c>
      <c r="L186" s="1" t="s">
        <v>22</v>
      </c>
      <c r="M186" s="2">
        <v>45330</v>
      </c>
      <c r="N186" s="45">
        <f t="shared" si="2"/>
        <v>1249.95</v>
      </c>
    </row>
    <row r="187" spans="1:14" ht="18.600000000000001" customHeight="1" thickBot="1" x14ac:dyDescent="0.35">
      <c r="A187" s="44" t="s">
        <v>332</v>
      </c>
      <c r="B187" s="2">
        <v>45668</v>
      </c>
      <c r="C187" s="1" t="s">
        <v>138</v>
      </c>
      <c r="D187" s="1" t="s">
        <v>139</v>
      </c>
      <c r="E187" s="1" t="s">
        <v>52</v>
      </c>
      <c r="F187" s="1" t="s">
        <v>53</v>
      </c>
      <c r="G187" s="1" t="s">
        <v>19</v>
      </c>
      <c r="H187" s="3">
        <v>4</v>
      </c>
      <c r="I187" s="1">
        <v>149.99</v>
      </c>
      <c r="J187" s="1" t="s">
        <v>57</v>
      </c>
      <c r="K187" s="1" t="s">
        <v>63</v>
      </c>
      <c r="L187" s="1" t="s">
        <v>36</v>
      </c>
      <c r="M187" s="2">
        <v>44536</v>
      </c>
      <c r="N187" s="45">
        <f t="shared" si="2"/>
        <v>599.96</v>
      </c>
    </row>
    <row r="188" spans="1:14" ht="18.600000000000001" customHeight="1" thickBot="1" x14ac:dyDescent="0.35">
      <c r="A188" s="44" t="s">
        <v>333</v>
      </c>
      <c r="B188" s="2">
        <v>45668</v>
      </c>
      <c r="C188" s="1" t="s">
        <v>78</v>
      </c>
      <c r="D188" s="1" t="s">
        <v>79</v>
      </c>
      <c r="E188" s="1" t="s">
        <v>80</v>
      </c>
      <c r="F188" s="1" t="s">
        <v>81</v>
      </c>
      <c r="G188" s="1" t="s">
        <v>19</v>
      </c>
      <c r="H188" s="3">
        <v>3</v>
      </c>
      <c r="I188" s="1">
        <v>699.99</v>
      </c>
      <c r="J188" s="1" t="s">
        <v>20</v>
      </c>
      <c r="K188" s="1" t="s">
        <v>40</v>
      </c>
      <c r="L188" s="1" t="s">
        <v>27</v>
      </c>
      <c r="M188" s="2">
        <v>44602</v>
      </c>
      <c r="N188" s="45">
        <f t="shared" si="2"/>
        <v>2099.9700000000003</v>
      </c>
    </row>
    <row r="189" spans="1:14" ht="18.600000000000001" customHeight="1" thickBot="1" x14ac:dyDescent="0.35">
      <c r="A189" s="44" t="s">
        <v>334</v>
      </c>
      <c r="B189" s="2">
        <v>45670</v>
      </c>
      <c r="C189" s="1" t="s">
        <v>293</v>
      </c>
      <c r="D189" s="1" t="s">
        <v>294</v>
      </c>
      <c r="E189" s="1" t="s">
        <v>114</v>
      </c>
      <c r="F189" s="1" t="s">
        <v>115</v>
      </c>
      <c r="G189" s="1" t="s">
        <v>33</v>
      </c>
      <c r="H189" s="3">
        <v>1</v>
      </c>
      <c r="I189" s="1">
        <v>79.989999999999995</v>
      </c>
      <c r="J189" s="1" t="s">
        <v>26</v>
      </c>
      <c r="K189" s="1" t="s">
        <v>35</v>
      </c>
      <c r="L189" s="1" t="s">
        <v>22</v>
      </c>
      <c r="M189" s="2">
        <v>45322</v>
      </c>
      <c r="N189" s="45">
        <f t="shared" si="2"/>
        <v>79.989999999999995</v>
      </c>
    </row>
    <row r="190" spans="1:14" ht="18.600000000000001" customHeight="1" thickBot="1" x14ac:dyDescent="0.35">
      <c r="A190" s="44" t="s">
        <v>335</v>
      </c>
      <c r="B190" s="2">
        <v>45670</v>
      </c>
      <c r="C190" s="1" t="s">
        <v>86</v>
      </c>
      <c r="D190" s="1" t="s">
        <v>87</v>
      </c>
      <c r="E190" s="1" t="s">
        <v>105</v>
      </c>
      <c r="F190" s="1" t="s">
        <v>106</v>
      </c>
      <c r="G190" s="1" t="s">
        <v>46</v>
      </c>
      <c r="H190" s="3">
        <v>1</v>
      </c>
      <c r="I190" s="1">
        <v>299.99</v>
      </c>
      <c r="J190" s="1" t="s">
        <v>26</v>
      </c>
      <c r="K190" s="1" t="s">
        <v>40</v>
      </c>
      <c r="L190" s="1" t="s">
        <v>22</v>
      </c>
      <c r="M190" s="2">
        <v>44436</v>
      </c>
      <c r="N190" s="45">
        <f t="shared" si="2"/>
        <v>299.99</v>
      </c>
    </row>
    <row r="191" spans="1:14" ht="18.600000000000001" customHeight="1" thickBot="1" x14ac:dyDescent="0.35">
      <c r="A191" s="44" t="s">
        <v>336</v>
      </c>
      <c r="B191" s="2">
        <v>45671</v>
      </c>
      <c r="C191" s="1" t="s">
        <v>158</v>
      </c>
      <c r="D191" s="1" t="s">
        <v>159</v>
      </c>
      <c r="E191" s="1" t="s">
        <v>17</v>
      </c>
      <c r="F191" s="1" t="s">
        <v>18</v>
      </c>
      <c r="G191" s="1" t="s">
        <v>19</v>
      </c>
      <c r="H191" s="3">
        <v>4</v>
      </c>
      <c r="I191" s="1">
        <v>249.99</v>
      </c>
      <c r="J191" s="1" t="s">
        <v>26</v>
      </c>
      <c r="K191" s="1" t="s">
        <v>40</v>
      </c>
      <c r="L191" s="1" t="s">
        <v>27</v>
      </c>
      <c r="M191" s="2">
        <v>44460</v>
      </c>
      <c r="N191" s="45">
        <f t="shared" si="2"/>
        <v>999.96</v>
      </c>
    </row>
    <row r="192" spans="1:14" ht="18.600000000000001" customHeight="1" thickBot="1" x14ac:dyDescent="0.35">
      <c r="A192" s="44" t="s">
        <v>337</v>
      </c>
      <c r="B192" s="2">
        <v>45671</v>
      </c>
      <c r="C192" s="1" t="s">
        <v>120</v>
      </c>
      <c r="D192" s="1" t="s">
        <v>121</v>
      </c>
      <c r="E192" s="1" t="s">
        <v>52</v>
      </c>
      <c r="F192" s="1" t="s">
        <v>53</v>
      </c>
      <c r="G192" s="1" t="s">
        <v>19</v>
      </c>
      <c r="H192" s="3">
        <v>2</v>
      </c>
      <c r="I192" s="1">
        <v>149.99</v>
      </c>
      <c r="J192" s="1" t="s">
        <v>20</v>
      </c>
      <c r="K192" s="1" t="s">
        <v>40</v>
      </c>
      <c r="L192" s="1" t="s">
        <v>36</v>
      </c>
      <c r="M192" s="2">
        <v>44913</v>
      </c>
      <c r="N192" s="45">
        <f t="shared" si="2"/>
        <v>299.98</v>
      </c>
    </row>
    <row r="193" spans="1:14" ht="18.600000000000001" customHeight="1" thickBot="1" x14ac:dyDescent="0.35">
      <c r="A193" s="44" t="s">
        <v>338</v>
      </c>
      <c r="B193" s="2">
        <v>45671</v>
      </c>
      <c r="C193" s="1" t="s">
        <v>234</v>
      </c>
      <c r="D193" s="1" t="s">
        <v>235</v>
      </c>
      <c r="E193" s="1" t="s">
        <v>105</v>
      </c>
      <c r="F193" s="1" t="s">
        <v>106</v>
      </c>
      <c r="G193" s="1" t="s">
        <v>46</v>
      </c>
      <c r="H193" s="3">
        <v>3</v>
      </c>
      <c r="I193" s="1">
        <v>299.99</v>
      </c>
      <c r="J193" s="1" t="s">
        <v>26</v>
      </c>
      <c r="K193" s="1" t="s">
        <v>35</v>
      </c>
      <c r="L193" s="1" t="s">
        <v>22</v>
      </c>
      <c r="M193" s="2">
        <v>45204</v>
      </c>
      <c r="N193" s="45">
        <f t="shared" si="2"/>
        <v>899.97</v>
      </c>
    </row>
    <row r="194" spans="1:14" ht="18.600000000000001" customHeight="1" thickBot="1" x14ac:dyDescent="0.35">
      <c r="A194" s="44" t="s">
        <v>339</v>
      </c>
      <c r="B194" s="2">
        <v>45673</v>
      </c>
      <c r="C194" s="1" t="s">
        <v>226</v>
      </c>
      <c r="D194" s="1" t="s">
        <v>227</v>
      </c>
      <c r="E194" s="1" t="s">
        <v>126</v>
      </c>
      <c r="F194" s="1" t="s">
        <v>127</v>
      </c>
      <c r="G194" s="1" t="s">
        <v>46</v>
      </c>
      <c r="H194" s="3">
        <v>4</v>
      </c>
      <c r="I194" s="1">
        <v>199.99</v>
      </c>
      <c r="J194" s="1" t="s">
        <v>57</v>
      </c>
      <c r="K194" s="1" t="s">
        <v>35</v>
      </c>
      <c r="L194" s="1" t="s">
        <v>36</v>
      </c>
      <c r="M194" s="2">
        <v>44544</v>
      </c>
      <c r="N194" s="45">
        <f t="shared" si="2"/>
        <v>799.96</v>
      </c>
    </row>
    <row r="195" spans="1:14" ht="18.600000000000001" customHeight="1" thickBot="1" x14ac:dyDescent="0.35">
      <c r="A195" s="44" t="s">
        <v>340</v>
      </c>
      <c r="B195" s="2">
        <v>45673</v>
      </c>
      <c r="C195" s="1" t="s">
        <v>211</v>
      </c>
      <c r="D195" s="1" t="s">
        <v>212</v>
      </c>
      <c r="E195" s="1" t="s">
        <v>105</v>
      </c>
      <c r="F195" s="1" t="s">
        <v>106</v>
      </c>
      <c r="G195" s="1" t="s">
        <v>46</v>
      </c>
      <c r="H195" s="3">
        <v>5</v>
      </c>
      <c r="I195" s="1">
        <v>299.99</v>
      </c>
      <c r="J195" s="1" t="s">
        <v>57</v>
      </c>
      <c r="K195" s="1" t="s">
        <v>21</v>
      </c>
      <c r="L195" s="1" t="s">
        <v>22</v>
      </c>
      <c r="M195" s="2">
        <v>44431</v>
      </c>
      <c r="N195" s="45">
        <f t="shared" ref="N195:N251" si="3">H195*I195</f>
        <v>1499.95</v>
      </c>
    </row>
    <row r="196" spans="1:14" ht="18.600000000000001" customHeight="1" thickBot="1" x14ac:dyDescent="0.35">
      <c r="A196" s="44" t="s">
        <v>341</v>
      </c>
      <c r="B196" s="2">
        <v>45673</v>
      </c>
      <c r="C196" s="1" t="s">
        <v>59</v>
      </c>
      <c r="D196" s="1" t="s">
        <v>60</v>
      </c>
      <c r="E196" s="1" t="s">
        <v>44</v>
      </c>
      <c r="F196" s="1" t="s">
        <v>45</v>
      </c>
      <c r="G196" s="1" t="s">
        <v>46</v>
      </c>
      <c r="H196" s="3">
        <v>3</v>
      </c>
      <c r="I196" s="1">
        <v>149.99</v>
      </c>
      <c r="J196" s="1" t="s">
        <v>26</v>
      </c>
      <c r="K196" s="1" t="s">
        <v>63</v>
      </c>
      <c r="L196" s="1" t="s">
        <v>36</v>
      </c>
      <c r="M196" s="2">
        <v>44395</v>
      </c>
      <c r="N196" s="45">
        <f t="shared" si="3"/>
        <v>449.97</v>
      </c>
    </row>
    <row r="197" spans="1:14" ht="18.600000000000001" customHeight="1" thickBot="1" x14ac:dyDescent="0.35">
      <c r="A197" s="44" t="s">
        <v>342</v>
      </c>
      <c r="B197" s="2">
        <v>45676</v>
      </c>
      <c r="C197" s="1" t="s">
        <v>129</v>
      </c>
      <c r="D197" s="1" t="s">
        <v>130</v>
      </c>
      <c r="E197" s="1" t="s">
        <v>31</v>
      </c>
      <c r="F197" s="1" t="s">
        <v>32</v>
      </c>
      <c r="G197" s="1" t="s">
        <v>33</v>
      </c>
      <c r="H197" s="3">
        <v>5</v>
      </c>
      <c r="I197" s="1">
        <v>59.99</v>
      </c>
      <c r="J197" s="1" t="s">
        <v>57</v>
      </c>
      <c r="K197" s="1" t="s">
        <v>63</v>
      </c>
      <c r="L197" s="1" t="s">
        <v>22</v>
      </c>
      <c r="M197" s="2">
        <v>44642</v>
      </c>
      <c r="N197" s="45">
        <f t="shared" si="3"/>
        <v>299.95</v>
      </c>
    </row>
    <row r="198" spans="1:14" ht="18.600000000000001" customHeight="1" thickBot="1" x14ac:dyDescent="0.35">
      <c r="A198" s="44" t="s">
        <v>343</v>
      </c>
      <c r="B198" s="2">
        <v>45682</v>
      </c>
      <c r="C198" s="1" t="s">
        <v>68</v>
      </c>
      <c r="D198" s="1" t="s">
        <v>69</v>
      </c>
      <c r="E198" s="1" t="s">
        <v>31</v>
      </c>
      <c r="F198" s="1" t="s">
        <v>32</v>
      </c>
      <c r="G198" s="1" t="s">
        <v>33</v>
      </c>
      <c r="H198" s="3">
        <v>4</v>
      </c>
      <c r="I198" s="1">
        <v>59.99</v>
      </c>
      <c r="J198" s="1" t="s">
        <v>57</v>
      </c>
      <c r="K198" s="1" t="s">
        <v>63</v>
      </c>
      <c r="L198" s="1" t="s">
        <v>36</v>
      </c>
      <c r="M198" s="2">
        <v>44564</v>
      </c>
      <c r="N198" s="45">
        <f t="shared" si="3"/>
        <v>239.96</v>
      </c>
    </row>
    <row r="199" spans="1:14" ht="18.600000000000001" customHeight="1" thickBot="1" x14ac:dyDescent="0.35">
      <c r="A199" s="44" t="s">
        <v>344</v>
      </c>
      <c r="B199" s="2">
        <v>45683</v>
      </c>
      <c r="C199" s="1" t="s">
        <v>48</v>
      </c>
      <c r="D199" s="1" t="s">
        <v>49</v>
      </c>
      <c r="E199" s="1" t="s">
        <v>17</v>
      </c>
      <c r="F199" s="1" t="s">
        <v>18</v>
      </c>
      <c r="G199" s="1" t="s">
        <v>19</v>
      </c>
      <c r="H199" s="3">
        <v>4</v>
      </c>
      <c r="I199" s="1">
        <v>249.99</v>
      </c>
      <c r="J199" s="1" t="s">
        <v>57</v>
      </c>
      <c r="K199" s="1" t="s">
        <v>21</v>
      </c>
      <c r="L199" s="1" t="s">
        <v>27</v>
      </c>
      <c r="M199" s="2">
        <v>45217</v>
      </c>
      <c r="N199" s="45">
        <f t="shared" si="3"/>
        <v>999.96</v>
      </c>
    </row>
    <row r="200" spans="1:14" ht="18.600000000000001" customHeight="1" thickBot="1" x14ac:dyDescent="0.35">
      <c r="A200" s="44" t="s">
        <v>345</v>
      </c>
      <c r="B200" s="2">
        <v>45686</v>
      </c>
      <c r="C200" s="1" t="s">
        <v>252</v>
      </c>
      <c r="D200" s="1" t="s">
        <v>253</v>
      </c>
      <c r="E200" s="1" t="s">
        <v>61</v>
      </c>
      <c r="F200" s="1" t="s">
        <v>62</v>
      </c>
      <c r="G200" s="1" t="s">
        <v>19</v>
      </c>
      <c r="H200" s="3">
        <v>4</v>
      </c>
      <c r="I200" s="1">
        <v>899.99</v>
      </c>
      <c r="J200" s="1" t="s">
        <v>34</v>
      </c>
      <c r="K200" s="1" t="s">
        <v>21</v>
      </c>
      <c r="L200" s="1" t="s">
        <v>22</v>
      </c>
      <c r="M200" s="2">
        <v>44734</v>
      </c>
      <c r="N200" s="45">
        <f t="shared" si="3"/>
        <v>3599.96</v>
      </c>
    </row>
    <row r="201" spans="1:14" ht="18.600000000000001" customHeight="1" thickBot="1" x14ac:dyDescent="0.35">
      <c r="A201" s="44" t="s">
        <v>346</v>
      </c>
      <c r="B201" s="2">
        <v>45686</v>
      </c>
      <c r="C201" s="1" t="s">
        <v>86</v>
      </c>
      <c r="D201" s="1" t="s">
        <v>87</v>
      </c>
      <c r="E201" s="1" t="s">
        <v>105</v>
      </c>
      <c r="F201" s="1" t="s">
        <v>106</v>
      </c>
      <c r="G201" s="1" t="s">
        <v>46</v>
      </c>
      <c r="H201" s="3">
        <v>3</v>
      </c>
      <c r="I201" s="1">
        <v>299.99</v>
      </c>
      <c r="J201" s="1" t="s">
        <v>57</v>
      </c>
      <c r="K201" s="1" t="s">
        <v>50</v>
      </c>
      <c r="L201" s="1" t="s">
        <v>36</v>
      </c>
      <c r="M201" s="2">
        <v>44952</v>
      </c>
      <c r="N201" s="45">
        <f t="shared" si="3"/>
        <v>899.97</v>
      </c>
    </row>
    <row r="202" spans="1:14" ht="18.600000000000001" customHeight="1" thickBot="1" x14ac:dyDescent="0.35">
      <c r="A202" s="44" t="s">
        <v>347</v>
      </c>
      <c r="B202" s="2">
        <v>45686</v>
      </c>
      <c r="C202" s="1" t="s">
        <v>293</v>
      </c>
      <c r="D202" s="1" t="s">
        <v>294</v>
      </c>
      <c r="E202" s="1" t="s">
        <v>80</v>
      </c>
      <c r="F202" s="1" t="s">
        <v>81</v>
      </c>
      <c r="G202" s="1" t="s">
        <v>19</v>
      </c>
      <c r="H202" s="3">
        <v>2</v>
      </c>
      <c r="I202" s="1">
        <v>699.99</v>
      </c>
      <c r="J202" s="1" t="s">
        <v>57</v>
      </c>
      <c r="K202" s="1" t="s">
        <v>21</v>
      </c>
      <c r="L202" s="1" t="s">
        <v>27</v>
      </c>
      <c r="M202" s="2">
        <v>44681</v>
      </c>
      <c r="N202" s="45">
        <f t="shared" si="3"/>
        <v>1399.98</v>
      </c>
    </row>
    <row r="203" spans="1:14" ht="18.600000000000001" customHeight="1" thickBot="1" x14ac:dyDescent="0.35">
      <c r="A203" s="44" t="s">
        <v>348</v>
      </c>
      <c r="B203" s="2">
        <v>45688</v>
      </c>
      <c r="C203" s="1" t="s">
        <v>65</v>
      </c>
      <c r="D203" s="1" t="s">
        <v>66</v>
      </c>
      <c r="E203" s="1" t="s">
        <v>80</v>
      </c>
      <c r="F203" s="1" t="s">
        <v>81</v>
      </c>
      <c r="G203" s="1" t="s">
        <v>19</v>
      </c>
      <c r="H203" s="3">
        <v>4</v>
      </c>
      <c r="I203" s="1">
        <v>699.99</v>
      </c>
      <c r="J203" s="1" t="s">
        <v>57</v>
      </c>
      <c r="K203" s="1" t="s">
        <v>50</v>
      </c>
      <c r="L203" s="1" t="s">
        <v>27</v>
      </c>
      <c r="M203" s="2">
        <v>44692</v>
      </c>
      <c r="N203" s="45">
        <f t="shared" si="3"/>
        <v>2799.96</v>
      </c>
    </row>
    <row r="204" spans="1:14" ht="18.600000000000001" customHeight="1" thickBot="1" x14ac:dyDescent="0.35">
      <c r="A204" s="44" t="s">
        <v>349</v>
      </c>
      <c r="B204" s="2">
        <v>45688</v>
      </c>
      <c r="C204" s="1" t="s">
        <v>123</v>
      </c>
      <c r="D204" s="1" t="s">
        <v>124</v>
      </c>
      <c r="E204" s="1" t="s">
        <v>117</v>
      </c>
      <c r="F204" s="1" t="s">
        <v>118</v>
      </c>
      <c r="G204" s="1" t="s">
        <v>19</v>
      </c>
      <c r="H204" s="3">
        <v>2</v>
      </c>
      <c r="I204" s="1">
        <v>89.99</v>
      </c>
      <c r="J204" s="1" t="s">
        <v>57</v>
      </c>
      <c r="K204" s="1" t="s">
        <v>35</v>
      </c>
      <c r="L204" s="1" t="s">
        <v>22</v>
      </c>
      <c r="M204" s="2">
        <v>44777</v>
      </c>
      <c r="N204" s="45">
        <f t="shared" si="3"/>
        <v>179.98</v>
      </c>
    </row>
    <row r="205" spans="1:14" ht="18.600000000000001" customHeight="1" thickBot="1" x14ac:dyDescent="0.35">
      <c r="A205" s="44" t="s">
        <v>350</v>
      </c>
      <c r="B205" s="2">
        <v>45688</v>
      </c>
      <c r="C205" s="1" t="s">
        <v>42</v>
      </c>
      <c r="D205" s="1" t="s">
        <v>43</v>
      </c>
      <c r="E205" s="1" t="s">
        <v>117</v>
      </c>
      <c r="F205" s="1" t="s">
        <v>118</v>
      </c>
      <c r="G205" s="1" t="s">
        <v>19</v>
      </c>
      <c r="H205" s="3">
        <v>3</v>
      </c>
      <c r="I205" s="1">
        <v>89.99</v>
      </c>
      <c r="J205" s="1" t="s">
        <v>57</v>
      </c>
      <c r="K205" s="1" t="s">
        <v>35</v>
      </c>
      <c r="L205" s="1" t="s">
        <v>27</v>
      </c>
      <c r="M205" s="2">
        <v>45307</v>
      </c>
      <c r="N205" s="45">
        <f t="shared" si="3"/>
        <v>269.96999999999997</v>
      </c>
    </row>
    <row r="206" spans="1:14" ht="18.600000000000001" customHeight="1" thickBot="1" x14ac:dyDescent="0.35">
      <c r="A206" s="44" t="s">
        <v>351</v>
      </c>
      <c r="B206" s="2">
        <v>45692</v>
      </c>
      <c r="C206" s="1" t="s">
        <v>325</v>
      </c>
      <c r="D206" s="1" t="s">
        <v>326</v>
      </c>
      <c r="E206" s="1" t="s">
        <v>31</v>
      </c>
      <c r="F206" s="1" t="s">
        <v>32</v>
      </c>
      <c r="G206" s="1" t="s">
        <v>33</v>
      </c>
      <c r="H206" s="3">
        <v>1</v>
      </c>
      <c r="I206" s="1">
        <v>59.99</v>
      </c>
      <c r="J206" s="1" t="s">
        <v>57</v>
      </c>
      <c r="K206" s="1" t="s">
        <v>21</v>
      </c>
      <c r="L206" s="1" t="s">
        <v>36</v>
      </c>
      <c r="M206" s="2">
        <v>45045</v>
      </c>
      <c r="N206" s="45">
        <f t="shared" si="3"/>
        <v>59.99</v>
      </c>
    </row>
    <row r="207" spans="1:14" ht="18.600000000000001" customHeight="1" thickBot="1" x14ac:dyDescent="0.35">
      <c r="A207" s="44" t="s">
        <v>352</v>
      </c>
      <c r="B207" s="2">
        <v>45695</v>
      </c>
      <c r="C207" s="1" t="s">
        <v>246</v>
      </c>
      <c r="D207" s="1" t="s">
        <v>247</v>
      </c>
      <c r="E207" s="1" t="s">
        <v>44</v>
      </c>
      <c r="F207" s="1" t="s">
        <v>45</v>
      </c>
      <c r="G207" s="1" t="s">
        <v>46</v>
      </c>
      <c r="H207" s="3">
        <v>3</v>
      </c>
      <c r="I207" s="1">
        <v>149.99</v>
      </c>
      <c r="J207" s="1" t="s">
        <v>57</v>
      </c>
      <c r="K207" s="1" t="s">
        <v>40</v>
      </c>
      <c r="L207" s="1" t="s">
        <v>27</v>
      </c>
      <c r="M207" s="2">
        <v>44564</v>
      </c>
      <c r="N207" s="45">
        <f t="shared" si="3"/>
        <v>449.97</v>
      </c>
    </row>
    <row r="208" spans="1:14" ht="18.600000000000001" customHeight="1" thickBot="1" x14ac:dyDescent="0.35">
      <c r="A208" s="44" t="s">
        <v>353</v>
      </c>
      <c r="B208" s="2">
        <v>45695</v>
      </c>
      <c r="C208" s="1" t="s">
        <v>93</v>
      </c>
      <c r="D208" s="1" t="s">
        <v>94</v>
      </c>
      <c r="E208" s="1" t="s">
        <v>105</v>
      </c>
      <c r="F208" s="1" t="s">
        <v>106</v>
      </c>
      <c r="G208" s="1" t="s">
        <v>46</v>
      </c>
      <c r="H208" s="3">
        <v>5</v>
      </c>
      <c r="I208" s="1">
        <v>299.99</v>
      </c>
      <c r="J208" s="1" t="s">
        <v>26</v>
      </c>
      <c r="K208" s="1" t="s">
        <v>35</v>
      </c>
      <c r="L208" s="1" t="s">
        <v>22</v>
      </c>
      <c r="M208" s="2">
        <v>44959</v>
      </c>
      <c r="N208" s="45">
        <f t="shared" si="3"/>
        <v>1499.95</v>
      </c>
    </row>
    <row r="209" spans="1:14" ht="18.600000000000001" customHeight="1" thickBot="1" x14ac:dyDescent="0.35">
      <c r="A209" s="44" t="s">
        <v>354</v>
      </c>
      <c r="B209" s="2">
        <v>45696</v>
      </c>
      <c r="C209" s="1" t="s">
        <v>150</v>
      </c>
      <c r="D209" s="1" t="s">
        <v>151</v>
      </c>
      <c r="E209" s="1" t="s">
        <v>31</v>
      </c>
      <c r="F209" s="1" t="s">
        <v>32</v>
      </c>
      <c r="G209" s="1" t="s">
        <v>33</v>
      </c>
      <c r="H209" s="3">
        <v>5</v>
      </c>
      <c r="I209" s="1">
        <v>59.99</v>
      </c>
      <c r="J209" s="1" t="s">
        <v>57</v>
      </c>
      <c r="K209" s="1" t="s">
        <v>21</v>
      </c>
      <c r="L209" s="1" t="s">
        <v>36</v>
      </c>
      <c r="M209" s="2">
        <v>45177</v>
      </c>
      <c r="N209" s="45">
        <f t="shared" si="3"/>
        <v>299.95</v>
      </c>
    </row>
    <row r="210" spans="1:14" ht="18.600000000000001" customHeight="1" thickBot="1" x14ac:dyDescent="0.35">
      <c r="A210" s="44" t="s">
        <v>355</v>
      </c>
      <c r="B210" s="2">
        <v>45701</v>
      </c>
      <c r="C210" s="1" t="s">
        <v>108</v>
      </c>
      <c r="D210" s="1" t="s">
        <v>109</v>
      </c>
      <c r="E210" s="1" t="s">
        <v>114</v>
      </c>
      <c r="F210" s="1" t="s">
        <v>115</v>
      </c>
      <c r="G210" s="1" t="s">
        <v>33</v>
      </c>
      <c r="H210" s="3">
        <v>3</v>
      </c>
      <c r="I210" s="1">
        <v>79.989999999999995</v>
      </c>
      <c r="J210" s="1" t="s">
        <v>20</v>
      </c>
      <c r="K210" s="1" t="s">
        <v>63</v>
      </c>
      <c r="L210" s="1" t="s">
        <v>27</v>
      </c>
      <c r="M210" s="2">
        <v>44436</v>
      </c>
      <c r="N210" s="45">
        <f t="shared" si="3"/>
        <v>239.96999999999997</v>
      </c>
    </row>
    <row r="211" spans="1:14" ht="18.600000000000001" customHeight="1" thickBot="1" x14ac:dyDescent="0.35">
      <c r="A211" s="44" t="s">
        <v>356</v>
      </c>
      <c r="B211" s="2">
        <v>45704</v>
      </c>
      <c r="C211" s="1" t="s">
        <v>29</v>
      </c>
      <c r="D211" s="1" t="s">
        <v>30</v>
      </c>
      <c r="E211" s="1" t="s">
        <v>126</v>
      </c>
      <c r="F211" s="1" t="s">
        <v>127</v>
      </c>
      <c r="G211" s="1" t="s">
        <v>46</v>
      </c>
      <c r="H211" s="3">
        <v>3</v>
      </c>
      <c r="I211" s="1">
        <v>199.99</v>
      </c>
      <c r="J211" s="1" t="s">
        <v>20</v>
      </c>
      <c r="K211" s="1" t="s">
        <v>21</v>
      </c>
      <c r="L211" s="1" t="s">
        <v>22</v>
      </c>
      <c r="M211" s="2">
        <v>44735</v>
      </c>
      <c r="N211" s="45">
        <f t="shared" si="3"/>
        <v>599.97</v>
      </c>
    </row>
    <row r="212" spans="1:14" ht="18.600000000000001" customHeight="1" thickBot="1" x14ac:dyDescent="0.35">
      <c r="A212" s="44" t="s">
        <v>357</v>
      </c>
      <c r="B212" s="2">
        <v>45704</v>
      </c>
      <c r="C212" s="1" t="s">
        <v>15</v>
      </c>
      <c r="D212" s="1" t="s">
        <v>16</v>
      </c>
      <c r="E212" s="1" t="s">
        <v>117</v>
      </c>
      <c r="F212" s="1" t="s">
        <v>118</v>
      </c>
      <c r="G212" s="1" t="s">
        <v>19</v>
      </c>
      <c r="H212" s="3">
        <v>2</v>
      </c>
      <c r="I212" s="1">
        <v>89.99</v>
      </c>
      <c r="J212" s="1" t="s">
        <v>34</v>
      </c>
      <c r="K212" s="1" t="s">
        <v>21</v>
      </c>
      <c r="L212" s="1" t="s">
        <v>22</v>
      </c>
      <c r="M212" s="2">
        <v>45257</v>
      </c>
      <c r="N212" s="45">
        <f t="shared" si="3"/>
        <v>179.98</v>
      </c>
    </row>
    <row r="213" spans="1:14" ht="18.600000000000001" customHeight="1" thickBot="1" x14ac:dyDescent="0.35">
      <c r="A213" s="44" t="s">
        <v>358</v>
      </c>
      <c r="B213" s="2">
        <v>45705</v>
      </c>
      <c r="C213" s="1" t="s">
        <v>259</v>
      </c>
      <c r="D213" s="1" t="s">
        <v>260</v>
      </c>
      <c r="E213" s="1" t="s">
        <v>44</v>
      </c>
      <c r="F213" s="1" t="s">
        <v>45</v>
      </c>
      <c r="G213" s="1" t="s">
        <v>46</v>
      </c>
      <c r="H213" s="3">
        <v>2</v>
      </c>
      <c r="I213" s="1">
        <v>149.99</v>
      </c>
      <c r="J213" s="1" t="s">
        <v>20</v>
      </c>
      <c r="K213" s="1" t="s">
        <v>35</v>
      </c>
      <c r="L213" s="1" t="s">
        <v>27</v>
      </c>
      <c r="M213" s="2">
        <v>44728</v>
      </c>
      <c r="N213" s="45">
        <f t="shared" si="3"/>
        <v>299.98</v>
      </c>
    </row>
    <row r="214" spans="1:14" ht="18.600000000000001" customHeight="1" thickBot="1" x14ac:dyDescent="0.35">
      <c r="A214" s="44" t="s">
        <v>359</v>
      </c>
      <c r="B214" s="2">
        <v>45707</v>
      </c>
      <c r="C214" s="1" t="s">
        <v>123</v>
      </c>
      <c r="D214" s="1" t="s">
        <v>124</v>
      </c>
      <c r="E214" s="1" t="s">
        <v>80</v>
      </c>
      <c r="F214" s="1" t="s">
        <v>81</v>
      </c>
      <c r="G214" s="1" t="s">
        <v>19</v>
      </c>
      <c r="H214" s="3">
        <v>5</v>
      </c>
      <c r="I214" s="1">
        <v>699.99</v>
      </c>
      <c r="J214" s="1" t="s">
        <v>34</v>
      </c>
      <c r="K214" s="1" t="s">
        <v>35</v>
      </c>
      <c r="L214" s="1" t="s">
        <v>27</v>
      </c>
      <c r="M214" s="2">
        <v>45352</v>
      </c>
      <c r="N214" s="45">
        <f t="shared" si="3"/>
        <v>3499.95</v>
      </c>
    </row>
    <row r="215" spans="1:14" ht="18.600000000000001" customHeight="1" thickBot="1" x14ac:dyDescent="0.35">
      <c r="A215" s="44" t="s">
        <v>360</v>
      </c>
      <c r="B215" s="2">
        <v>45707</v>
      </c>
      <c r="C215" s="1" t="s">
        <v>42</v>
      </c>
      <c r="D215" s="1" t="s">
        <v>43</v>
      </c>
      <c r="E215" s="1" t="s">
        <v>44</v>
      </c>
      <c r="F215" s="1" t="s">
        <v>45</v>
      </c>
      <c r="G215" s="1" t="s">
        <v>46</v>
      </c>
      <c r="H215" s="3">
        <v>3</v>
      </c>
      <c r="I215" s="1">
        <v>149.99</v>
      </c>
      <c r="J215" s="1" t="s">
        <v>34</v>
      </c>
      <c r="K215" s="1" t="s">
        <v>21</v>
      </c>
      <c r="L215" s="1" t="s">
        <v>36</v>
      </c>
      <c r="M215" s="2">
        <v>44633</v>
      </c>
      <c r="N215" s="45">
        <f t="shared" si="3"/>
        <v>449.97</v>
      </c>
    </row>
    <row r="216" spans="1:14" ht="18.600000000000001" customHeight="1" thickBot="1" x14ac:dyDescent="0.35">
      <c r="A216" s="44" t="s">
        <v>361</v>
      </c>
      <c r="B216" s="2">
        <v>45708</v>
      </c>
      <c r="C216" s="1" t="s">
        <v>96</v>
      </c>
      <c r="D216" s="1" t="s">
        <v>97</v>
      </c>
      <c r="E216" s="1" t="s">
        <v>61</v>
      </c>
      <c r="F216" s="1" t="s">
        <v>62</v>
      </c>
      <c r="G216" s="1" t="s">
        <v>19</v>
      </c>
      <c r="H216" s="3">
        <v>3</v>
      </c>
      <c r="I216" s="1">
        <v>899.99</v>
      </c>
      <c r="J216" s="1" t="s">
        <v>20</v>
      </c>
      <c r="K216" s="1" t="s">
        <v>63</v>
      </c>
      <c r="L216" s="1" t="s">
        <v>36</v>
      </c>
      <c r="M216" s="2">
        <v>44613</v>
      </c>
      <c r="N216" s="45">
        <f t="shared" si="3"/>
        <v>2699.9700000000003</v>
      </c>
    </row>
    <row r="217" spans="1:14" ht="18.600000000000001" customHeight="1" thickBot="1" x14ac:dyDescent="0.35">
      <c r="A217" s="44" t="s">
        <v>362</v>
      </c>
      <c r="B217" s="2">
        <v>45708</v>
      </c>
      <c r="C217" s="1" t="s">
        <v>192</v>
      </c>
      <c r="D217" s="1" t="s">
        <v>193</v>
      </c>
      <c r="E217" s="1" t="s">
        <v>126</v>
      </c>
      <c r="F217" s="1" t="s">
        <v>127</v>
      </c>
      <c r="G217" s="1" t="s">
        <v>46</v>
      </c>
      <c r="H217" s="3">
        <v>3</v>
      </c>
      <c r="I217" s="1">
        <v>199.99</v>
      </c>
      <c r="J217" s="1" t="s">
        <v>20</v>
      </c>
      <c r="K217" s="1" t="s">
        <v>50</v>
      </c>
      <c r="L217" s="1" t="s">
        <v>27</v>
      </c>
      <c r="M217" s="2">
        <v>44823</v>
      </c>
      <c r="N217" s="45">
        <f t="shared" si="3"/>
        <v>599.97</v>
      </c>
    </row>
    <row r="218" spans="1:14" ht="18.600000000000001" customHeight="1" thickBot="1" x14ac:dyDescent="0.35">
      <c r="A218" s="44" t="s">
        <v>363</v>
      </c>
      <c r="B218" s="2">
        <v>45710</v>
      </c>
      <c r="C218" s="1" t="s">
        <v>55</v>
      </c>
      <c r="D218" s="1" t="s">
        <v>56</v>
      </c>
      <c r="E218" s="1" t="s">
        <v>105</v>
      </c>
      <c r="F218" s="1" t="s">
        <v>106</v>
      </c>
      <c r="G218" s="1" t="s">
        <v>46</v>
      </c>
      <c r="H218" s="3">
        <v>5</v>
      </c>
      <c r="I218" s="1">
        <v>299.99</v>
      </c>
      <c r="J218" s="1" t="s">
        <v>20</v>
      </c>
      <c r="K218" s="1" t="s">
        <v>50</v>
      </c>
      <c r="L218" s="1" t="s">
        <v>36</v>
      </c>
      <c r="M218" s="2">
        <v>45142</v>
      </c>
      <c r="N218" s="45">
        <f t="shared" si="3"/>
        <v>1499.95</v>
      </c>
    </row>
    <row r="219" spans="1:14" ht="18.600000000000001" customHeight="1" thickBot="1" x14ac:dyDescent="0.35">
      <c r="A219" s="44" t="s">
        <v>364</v>
      </c>
      <c r="B219" s="2">
        <v>45710</v>
      </c>
      <c r="C219" s="1" t="s">
        <v>150</v>
      </c>
      <c r="D219" s="1" t="s">
        <v>151</v>
      </c>
      <c r="E219" s="1" t="s">
        <v>80</v>
      </c>
      <c r="F219" s="1" t="s">
        <v>81</v>
      </c>
      <c r="G219" s="1" t="s">
        <v>19</v>
      </c>
      <c r="H219" s="3">
        <v>1</v>
      </c>
      <c r="I219" s="1">
        <v>699.99</v>
      </c>
      <c r="J219" s="1" t="s">
        <v>34</v>
      </c>
      <c r="K219" s="1" t="s">
        <v>50</v>
      </c>
      <c r="L219" s="1" t="s">
        <v>22</v>
      </c>
      <c r="M219" s="2">
        <v>44934</v>
      </c>
      <c r="N219" s="45">
        <f t="shared" si="3"/>
        <v>699.99</v>
      </c>
    </row>
    <row r="220" spans="1:14" ht="18.600000000000001" customHeight="1" thickBot="1" x14ac:dyDescent="0.35">
      <c r="A220" s="44" t="s">
        <v>365</v>
      </c>
      <c r="B220" s="2">
        <v>45711</v>
      </c>
      <c r="C220" s="1" t="s">
        <v>246</v>
      </c>
      <c r="D220" s="1" t="s">
        <v>247</v>
      </c>
      <c r="E220" s="1" t="s">
        <v>80</v>
      </c>
      <c r="F220" s="1" t="s">
        <v>81</v>
      </c>
      <c r="G220" s="1" t="s">
        <v>19</v>
      </c>
      <c r="H220" s="3">
        <v>1</v>
      </c>
      <c r="I220" s="1">
        <v>699.99</v>
      </c>
      <c r="J220" s="1" t="s">
        <v>20</v>
      </c>
      <c r="K220" s="1" t="s">
        <v>40</v>
      </c>
      <c r="L220" s="1" t="s">
        <v>27</v>
      </c>
      <c r="M220" s="2">
        <v>44583</v>
      </c>
      <c r="N220" s="45">
        <f t="shared" si="3"/>
        <v>699.99</v>
      </c>
    </row>
    <row r="221" spans="1:14" ht="18.600000000000001" customHeight="1" thickBot="1" x14ac:dyDescent="0.35">
      <c r="A221" s="44" t="s">
        <v>366</v>
      </c>
      <c r="B221" s="2">
        <v>45711</v>
      </c>
      <c r="C221" s="1" t="s">
        <v>325</v>
      </c>
      <c r="D221" s="1" t="s">
        <v>326</v>
      </c>
      <c r="E221" s="1" t="s">
        <v>44</v>
      </c>
      <c r="F221" s="1" t="s">
        <v>45</v>
      </c>
      <c r="G221" s="1" t="s">
        <v>46</v>
      </c>
      <c r="H221" s="3">
        <v>4</v>
      </c>
      <c r="I221" s="1">
        <v>149.99</v>
      </c>
      <c r="J221" s="1" t="s">
        <v>34</v>
      </c>
      <c r="K221" s="1" t="s">
        <v>40</v>
      </c>
      <c r="L221" s="1" t="s">
        <v>27</v>
      </c>
      <c r="M221" s="2">
        <v>44412</v>
      </c>
      <c r="N221" s="45">
        <f t="shared" si="3"/>
        <v>599.96</v>
      </c>
    </row>
    <row r="222" spans="1:14" ht="18.600000000000001" customHeight="1" thickBot="1" x14ac:dyDescent="0.35">
      <c r="A222" s="44" t="s">
        <v>367</v>
      </c>
      <c r="B222" s="2">
        <v>45711</v>
      </c>
      <c r="C222" s="1" t="s">
        <v>211</v>
      </c>
      <c r="D222" s="1" t="s">
        <v>212</v>
      </c>
      <c r="E222" s="1" t="s">
        <v>117</v>
      </c>
      <c r="F222" s="1" t="s">
        <v>118</v>
      </c>
      <c r="G222" s="1" t="s">
        <v>19</v>
      </c>
      <c r="H222" s="3">
        <v>5</v>
      </c>
      <c r="I222" s="1">
        <v>89.99</v>
      </c>
      <c r="J222" s="1" t="s">
        <v>34</v>
      </c>
      <c r="K222" s="1" t="s">
        <v>50</v>
      </c>
      <c r="L222" s="1" t="s">
        <v>27</v>
      </c>
      <c r="M222" s="2">
        <v>45140</v>
      </c>
      <c r="N222" s="45">
        <f t="shared" si="3"/>
        <v>449.95</v>
      </c>
    </row>
    <row r="223" spans="1:14" ht="18.600000000000001" customHeight="1" thickBot="1" x14ac:dyDescent="0.35">
      <c r="A223" s="44" t="s">
        <v>368</v>
      </c>
      <c r="B223" s="2">
        <v>45712</v>
      </c>
      <c r="C223" s="1" t="s">
        <v>138</v>
      </c>
      <c r="D223" s="1" t="s">
        <v>139</v>
      </c>
      <c r="E223" s="1" t="s">
        <v>126</v>
      </c>
      <c r="F223" s="1" t="s">
        <v>127</v>
      </c>
      <c r="G223" s="1" t="s">
        <v>46</v>
      </c>
      <c r="H223" s="3">
        <v>2</v>
      </c>
      <c r="I223" s="1">
        <v>199.99</v>
      </c>
      <c r="J223" s="1" t="s">
        <v>20</v>
      </c>
      <c r="K223" s="1" t="s">
        <v>21</v>
      </c>
      <c r="L223" s="1" t="s">
        <v>27</v>
      </c>
      <c r="M223" s="2">
        <v>44573</v>
      </c>
      <c r="N223" s="45">
        <f t="shared" si="3"/>
        <v>399.98</v>
      </c>
    </row>
    <row r="224" spans="1:14" ht="18.600000000000001" customHeight="1" thickBot="1" x14ac:dyDescent="0.35">
      <c r="A224" s="44" t="s">
        <v>369</v>
      </c>
      <c r="B224" s="2">
        <v>45715</v>
      </c>
      <c r="C224" s="1" t="s">
        <v>259</v>
      </c>
      <c r="D224" s="1" t="s">
        <v>260</v>
      </c>
      <c r="E224" s="1" t="s">
        <v>31</v>
      </c>
      <c r="F224" s="1" t="s">
        <v>32</v>
      </c>
      <c r="G224" s="1" t="s">
        <v>33</v>
      </c>
      <c r="H224" s="3">
        <v>4</v>
      </c>
      <c r="I224" s="1">
        <v>59.99</v>
      </c>
      <c r="J224" s="1" t="s">
        <v>20</v>
      </c>
      <c r="K224" s="1" t="s">
        <v>50</v>
      </c>
      <c r="L224" s="1" t="s">
        <v>36</v>
      </c>
      <c r="M224" s="2">
        <v>45070</v>
      </c>
      <c r="N224" s="45">
        <f t="shared" si="3"/>
        <v>239.96</v>
      </c>
    </row>
    <row r="225" spans="1:14" ht="18.600000000000001" customHeight="1" thickBot="1" x14ac:dyDescent="0.35">
      <c r="A225" s="44" t="s">
        <v>370</v>
      </c>
      <c r="B225" s="2">
        <v>45715</v>
      </c>
      <c r="C225" s="1" t="s">
        <v>93</v>
      </c>
      <c r="D225" s="1" t="s">
        <v>94</v>
      </c>
      <c r="E225" s="1" t="s">
        <v>105</v>
      </c>
      <c r="F225" s="1" t="s">
        <v>106</v>
      </c>
      <c r="G225" s="1" t="s">
        <v>46</v>
      </c>
      <c r="H225" s="3">
        <v>2</v>
      </c>
      <c r="I225" s="1">
        <v>299.99</v>
      </c>
      <c r="J225" s="1" t="s">
        <v>34</v>
      </c>
      <c r="K225" s="1" t="s">
        <v>35</v>
      </c>
      <c r="L225" s="1" t="s">
        <v>22</v>
      </c>
      <c r="M225" s="2">
        <v>44576</v>
      </c>
      <c r="N225" s="45">
        <f t="shared" si="3"/>
        <v>599.98</v>
      </c>
    </row>
    <row r="226" spans="1:14" ht="18.600000000000001" customHeight="1" thickBot="1" x14ac:dyDescent="0.35">
      <c r="A226" s="44" t="s">
        <v>371</v>
      </c>
      <c r="B226" s="2">
        <v>45718</v>
      </c>
      <c r="C226" s="1" t="s">
        <v>55</v>
      </c>
      <c r="D226" s="1" t="s">
        <v>56</v>
      </c>
      <c r="E226" s="1" t="s">
        <v>44</v>
      </c>
      <c r="F226" s="1" t="s">
        <v>45</v>
      </c>
      <c r="G226" s="1" t="s">
        <v>46</v>
      </c>
      <c r="H226" s="3">
        <v>2</v>
      </c>
      <c r="I226" s="1">
        <v>149.99</v>
      </c>
      <c r="J226" s="1" t="s">
        <v>20</v>
      </c>
      <c r="K226" s="1" t="s">
        <v>21</v>
      </c>
      <c r="L226" s="1" t="s">
        <v>22</v>
      </c>
      <c r="M226" s="2">
        <v>45068</v>
      </c>
      <c r="N226" s="45">
        <f t="shared" si="3"/>
        <v>299.98</v>
      </c>
    </row>
    <row r="227" spans="1:14" ht="18.600000000000001" customHeight="1" thickBot="1" x14ac:dyDescent="0.35">
      <c r="A227" s="44" t="s">
        <v>372</v>
      </c>
      <c r="B227" s="2">
        <v>45720</v>
      </c>
      <c r="C227" s="1" t="s">
        <v>226</v>
      </c>
      <c r="D227" s="1" t="s">
        <v>227</v>
      </c>
      <c r="E227" s="1" t="s">
        <v>80</v>
      </c>
      <c r="F227" s="1" t="s">
        <v>81</v>
      </c>
      <c r="G227" s="1" t="s">
        <v>19</v>
      </c>
      <c r="H227" s="3">
        <v>5</v>
      </c>
      <c r="I227" s="1">
        <v>699.99</v>
      </c>
      <c r="J227" s="1" t="s">
        <v>57</v>
      </c>
      <c r="K227" s="1" t="s">
        <v>63</v>
      </c>
      <c r="L227" s="1" t="s">
        <v>27</v>
      </c>
      <c r="M227" s="2">
        <v>45161</v>
      </c>
      <c r="N227" s="45">
        <f t="shared" si="3"/>
        <v>3499.95</v>
      </c>
    </row>
    <row r="228" spans="1:14" ht="18.600000000000001" customHeight="1" thickBot="1" x14ac:dyDescent="0.35">
      <c r="A228" s="44" t="s">
        <v>373</v>
      </c>
      <c r="B228" s="2">
        <v>45721</v>
      </c>
      <c r="C228" s="1" t="s">
        <v>75</v>
      </c>
      <c r="D228" s="1" t="s">
        <v>76</v>
      </c>
      <c r="E228" s="1" t="s">
        <v>31</v>
      </c>
      <c r="F228" s="1" t="s">
        <v>32</v>
      </c>
      <c r="G228" s="1" t="s">
        <v>33</v>
      </c>
      <c r="H228" s="3">
        <v>5</v>
      </c>
      <c r="I228" s="1">
        <v>59.99</v>
      </c>
      <c r="J228" s="1" t="s">
        <v>20</v>
      </c>
      <c r="K228" s="1" t="s">
        <v>50</v>
      </c>
      <c r="L228" s="1" t="s">
        <v>27</v>
      </c>
      <c r="M228" s="2">
        <v>45291</v>
      </c>
      <c r="N228" s="45">
        <f t="shared" si="3"/>
        <v>299.95</v>
      </c>
    </row>
    <row r="229" spans="1:14" ht="18.600000000000001" customHeight="1" thickBot="1" x14ac:dyDescent="0.35">
      <c r="A229" s="44" t="s">
        <v>374</v>
      </c>
      <c r="B229" s="2">
        <v>45723</v>
      </c>
      <c r="C229" s="1" t="s">
        <v>15</v>
      </c>
      <c r="D229" s="1" t="s">
        <v>16</v>
      </c>
      <c r="E229" s="1" t="s">
        <v>117</v>
      </c>
      <c r="F229" s="1" t="s">
        <v>118</v>
      </c>
      <c r="G229" s="1" t="s">
        <v>19</v>
      </c>
      <c r="H229" s="3">
        <v>2</v>
      </c>
      <c r="I229" s="1">
        <v>89.99</v>
      </c>
      <c r="J229" s="1" t="s">
        <v>26</v>
      </c>
      <c r="K229" s="1" t="s">
        <v>50</v>
      </c>
      <c r="L229" s="1" t="s">
        <v>27</v>
      </c>
      <c r="M229" s="2">
        <v>45295</v>
      </c>
      <c r="N229" s="45">
        <f t="shared" si="3"/>
        <v>179.98</v>
      </c>
    </row>
    <row r="230" spans="1:14" ht="18.600000000000001" customHeight="1" thickBot="1" x14ac:dyDescent="0.35">
      <c r="A230" s="44" t="s">
        <v>375</v>
      </c>
      <c r="B230" s="2">
        <v>45723</v>
      </c>
      <c r="C230" s="1" t="s">
        <v>120</v>
      </c>
      <c r="D230" s="1" t="s">
        <v>121</v>
      </c>
      <c r="E230" s="1" t="s">
        <v>17</v>
      </c>
      <c r="F230" s="1" t="s">
        <v>18</v>
      </c>
      <c r="G230" s="1" t="s">
        <v>19</v>
      </c>
      <c r="H230" s="3">
        <v>5</v>
      </c>
      <c r="I230" s="1">
        <v>249.99</v>
      </c>
      <c r="J230" s="1" t="s">
        <v>20</v>
      </c>
      <c r="K230" s="1" t="s">
        <v>63</v>
      </c>
      <c r="L230" s="1" t="s">
        <v>36</v>
      </c>
      <c r="M230" s="2">
        <v>44540</v>
      </c>
      <c r="N230" s="45">
        <f t="shared" si="3"/>
        <v>1249.95</v>
      </c>
    </row>
    <row r="231" spans="1:14" ht="18.600000000000001" customHeight="1" thickBot="1" x14ac:dyDescent="0.35">
      <c r="A231" s="44" t="s">
        <v>376</v>
      </c>
      <c r="B231" s="2">
        <v>45724</v>
      </c>
      <c r="C231" s="1" t="s">
        <v>226</v>
      </c>
      <c r="D231" s="1" t="s">
        <v>227</v>
      </c>
      <c r="E231" s="1" t="s">
        <v>44</v>
      </c>
      <c r="F231" s="1" t="s">
        <v>45</v>
      </c>
      <c r="G231" s="1" t="s">
        <v>46</v>
      </c>
      <c r="H231" s="3">
        <v>2</v>
      </c>
      <c r="I231" s="1">
        <v>149.99</v>
      </c>
      <c r="J231" s="1" t="s">
        <v>34</v>
      </c>
      <c r="K231" s="1" t="s">
        <v>21</v>
      </c>
      <c r="L231" s="1" t="s">
        <v>27</v>
      </c>
      <c r="M231" s="2">
        <v>44632</v>
      </c>
      <c r="N231" s="45">
        <f t="shared" si="3"/>
        <v>299.98</v>
      </c>
    </row>
    <row r="232" spans="1:14" ht="18.600000000000001" customHeight="1" thickBot="1" x14ac:dyDescent="0.35">
      <c r="A232" s="44" t="s">
        <v>377</v>
      </c>
      <c r="B232" s="2">
        <v>45724</v>
      </c>
      <c r="C232" s="1" t="s">
        <v>144</v>
      </c>
      <c r="D232" s="1" t="s">
        <v>145</v>
      </c>
      <c r="E232" s="1" t="s">
        <v>61</v>
      </c>
      <c r="F232" s="1" t="s">
        <v>62</v>
      </c>
      <c r="G232" s="1" t="s">
        <v>19</v>
      </c>
      <c r="H232" s="3">
        <v>5</v>
      </c>
      <c r="I232" s="1">
        <v>899.99</v>
      </c>
      <c r="J232" s="1" t="s">
        <v>34</v>
      </c>
      <c r="K232" s="1" t="s">
        <v>63</v>
      </c>
      <c r="L232" s="1" t="s">
        <v>27</v>
      </c>
      <c r="M232" s="2">
        <v>45389</v>
      </c>
      <c r="N232" s="45">
        <f t="shared" si="3"/>
        <v>4499.95</v>
      </c>
    </row>
    <row r="233" spans="1:14" ht="18.600000000000001" customHeight="1" thickBot="1" x14ac:dyDescent="0.35">
      <c r="A233" s="44" t="s">
        <v>378</v>
      </c>
      <c r="B233" s="2">
        <v>45724</v>
      </c>
      <c r="C233" s="1" t="s">
        <v>55</v>
      </c>
      <c r="D233" s="1" t="s">
        <v>56</v>
      </c>
      <c r="E233" s="1" t="s">
        <v>44</v>
      </c>
      <c r="F233" s="1" t="s">
        <v>45</v>
      </c>
      <c r="G233" s="1" t="s">
        <v>46</v>
      </c>
      <c r="H233" s="3">
        <v>4</v>
      </c>
      <c r="I233" s="1">
        <v>149.99</v>
      </c>
      <c r="J233" s="1" t="s">
        <v>20</v>
      </c>
      <c r="K233" s="1" t="s">
        <v>21</v>
      </c>
      <c r="L233" s="1" t="s">
        <v>36</v>
      </c>
      <c r="M233" s="2">
        <v>45263</v>
      </c>
      <c r="N233" s="45">
        <f t="shared" si="3"/>
        <v>599.96</v>
      </c>
    </row>
    <row r="234" spans="1:14" ht="18.600000000000001" customHeight="1" thickBot="1" x14ac:dyDescent="0.35">
      <c r="A234" s="44" t="s">
        <v>379</v>
      </c>
      <c r="B234" s="2">
        <v>45726</v>
      </c>
      <c r="C234" s="1" t="s">
        <v>144</v>
      </c>
      <c r="D234" s="1" t="s">
        <v>145</v>
      </c>
      <c r="E234" s="1" t="s">
        <v>17</v>
      </c>
      <c r="F234" s="1" t="s">
        <v>18</v>
      </c>
      <c r="G234" s="1" t="s">
        <v>19</v>
      </c>
      <c r="H234" s="3">
        <v>1</v>
      </c>
      <c r="I234" s="1">
        <v>249.99</v>
      </c>
      <c r="J234" s="1" t="s">
        <v>20</v>
      </c>
      <c r="K234" s="1" t="s">
        <v>40</v>
      </c>
      <c r="L234" s="1" t="s">
        <v>36</v>
      </c>
      <c r="M234" s="2">
        <v>45117</v>
      </c>
      <c r="N234" s="45">
        <f t="shared" si="3"/>
        <v>249.99</v>
      </c>
    </row>
    <row r="235" spans="1:14" ht="18.600000000000001" customHeight="1" thickBot="1" x14ac:dyDescent="0.35">
      <c r="A235" s="44" t="s">
        <v>380</v>
      </c>
      <c r="B235" s="2">
        <v>45734</v>
      </c>
      <c r="C235" s="1" t="s">
        <v>192</v>
      </c>
      <c r="D235" s="1" t="s">
        <v>193</v>
      </c>
      <c r="E235" s="1" t="s">
        <v>31</v>
      </c>
      <c r="F235" s="1" t="s">
        <v>32</v>
      </c>
      <c r="G235" s="1" t="s">
        <v>33</v>
      </c>
      <c r="H235" s="3">
        <v>2</v>
      </c>
      <c r="I235" s="1">
        <v>59.99</v>
      </c>
      <c r="J235" s="1" t="s">
        <v>26</v>
      </c>
      <c r="K235" s="1" t="s">
        <v>50</v>
      </c>
      <c r="L235" s="1" t="s">
        <v>22</v>
      </c>
      <c r="M235" s="2">
        <v>45193</v>
      </c>
      <c r="N235" s="45">
        <f t="shared" si="3"/>
        <v>119.98</v>
      </c>
    </row>
    <row r="236" spans="1:14" ht="18.600000000000001" customHeight="1" thickBot="1" x14ac:dyDescent="0.35">
      <c r="A236" s="44" t="s">
        <v>381</v>
      </c>
      <c r="B236" s="2">
        <v>45737</v>
      </c>
      <c r="C236" s="1" t="s">
        <v>132</v>
      </c>
      <c r="D236" s="1" t="s">
        <v>133</v>
      </c>
      <c r="E236" s="1" t="s">
        <v>44</v>
      </c>
      <c r="F236" s="1" t="s">
        <v>45</v>
      </c>
      <c r="G236" s="1" t="s">
        <v>46</v>
      </c>
      <c r="H236" s="3">
        <v>2</v>
      </c>
      <c r="I236" s="1">
        <v>149.99</v>
      </c>
      <c r="J236" s="1" t="s">
        <v>20</v>
      </c>
      <c r="K236" s="1" t="s">
        <v>50</v>
      </c>
      <c r="L236" s="1" t="s">
        <v>27</v>
      </c>
      <c r="M236" s="2">
        <v>45233</v>
      </c>
      <c r="N236" s="45">
        <f t="shared" si="3"/>
        <v>299.98</v>
      </c>
    </row>
    <row r="237" spans="1:14" ht="18.600000000000001" customHeight="1" thickBot="1" x14ac:dyDescent="0.35">
      <c r="A237" s="44" t="s">
        <v>382</v>
      </c>
      <c r="B237" s="2">
        <v>45737</v>
      </c>
      <c r="C237" s="1" t="s">
        <v>150</v>
      </c>
      <c r="D237" s="1" t="s">
        <v>151</v>
      </c>
      <c r="E237" s="1" t="s">
        <v>61</v>
      </c>
      <c r="F237" s="1" t="s">
        <v>62</v>
      </c>
      <c r="G237" s="1" t="s">
        <v>19</v>
      </c>
      <c r="H237" s="3">
        <v>3</v>
      </c>
      <c r="I237" s="1">
        <v>899.99</v>
      </c>
      <c r="J237" s="1" t="s">
        <v>57</v>
      </c>
      <c r="K237" s="1" t="s">
        <v>40</v>
      </c>
      <c r="L237" s="1" t="s">
        <v>27</v>
      </c>
      <c r="M237" s="2">
        <v>44876</v>
      </c>
      <c r="N237" s="45">
        <f t="shared" si="3"/>
        <v>2699.9700000000003</v>
      </c>
    </row>
    <row r="238" spans="1:14" ht="18.600000000000001" customHeight="1" thickBot="1" x14ac:dyDescent="0.35">
      <c r="A238" s="44" t="s">
        <v>383</v>
      </c>
      <c r="B238" s="2">
        <v>45737</v>
      </c>
      <c r="C238" s="1" t="s">
        <v>48</v>
      </c>
      <c r="D238" s="1" t="s">
        <v>49</v>
      </c>
      <c r="E238" s="1" t="s">
        <v>61</v>
      </c>
      <c r="F238" s="1" t="s">
        <v>62</v>
      </c>
      <c r="G238" s="1" t="s">
        <v>19</v>
      </c>
      <c r="H238" s="3">
        <v>3</v>
      </c>
      <c r="I238" s="1">
        <v>899.99</v>
      </c>
      <c r="J238" s="1" t="s">
        <v>34</v>
      </c>
      <c r="K238" s="1" t="s">
        <v>40</v>
      </c>
      <c r="L238" s="1" t="s">
        <v>22</v>
      </c>
      <c r="M238" s="2">
        <v>44975</v>
      </c>
      <c r="N238" s="45">
        <f t="shared" si="3"/>
        <v>2699.9700000000003</v>
      </c>
    </row>
    <row r="239" spans="1:14" ht="18.600000000000001" customHeight="1" thickBot="1" x14ac:dyDescent="0.35">
      <c r="A239" s="44" t="s">
        <v>384</v>
      </c>
      <c r="B239" s="2">
        <v>45739</v>
      </c>
      <c r="C239" s="1" t="s">
        <v>15</v>
      </c>
      <c r="D239" s="1" t="s">
        <v>16</v>
      </c>
      <c r="E239" s="1" t="s">
        <v>105</v>
      </c>
      <c r="F239" s="1" t="s">
        <v>106</v>
      </c>
      <c r="G239" s="1" t="s">
        <v>46</v>
      </c>
      <c r="H239" s="3">
        <v>3</v>
      </c>
      <c r="I239" s="1">
        <v>299.99</v>
      </c>
      <c r="J239" s="1" t="s">
        <v>26</v>
      </c>
      <c r="K239" s="1" t="s">
        <v>50</v>
      </c>
      <c r="L239" s="1" t="s">
        <v>27</v>
      </c>
      <c r="M239" s="2">
        <v>45234</v>
      </c>
      <c r="N239" s="45">
        <f t="shared" si="3"/>
        <v>899.97</v>
      </c>
    </row>
    <row r="240" spans="1:14" ht="18.600000000000001" customHeight="1" thickBot="1" x14ac:dyDescent="0.35">
      <c r="A240" s="44" t="s">
        <v>385</v>
      </c>
      <c r="B240" s="2">
        <v>45740</v>
      </c>
      <c r="C240" s="1" t="s">
        <v>386</v>
      </c>
      <c r="D240" s="1" t="s">
        <v>387</v>
      </c>
      <c r="E240" s="1" t="s">
        <v>44</v>
      </c>
      <c r="F240" s="1" t="s">
        <v>45</v>
      </c>
      <c r="G240" s="1" t="s">
        <v>46</v>
      </c>
      <c r="H240" s="3">
        <v>4</v>
      </c>
      <c r="I240" s="1">
        <v>149.99</v>
      </c>
      <c r="J240" s="1" t="s">
        <v>34</v>
      </c>
      <c r="K240" s="1" t="s">
        <v>50</v>
      </c>
      <c r="L240" s="1" t="s">
        <v>36</v>
      </c>
      <c r="M240" s="2">
        <v>44560</v>
      </c>
      <c r="N240" s="45">
        <f t="shared" si="3"/>
        <v>599.96</v>
      </c>
    </row>
    <row r="241" spans="1:14" ht="18.600000000000001" customHeight="1" thickBot="1" x14ac:dyDescent="0.35">
      <c r="A241" s="44" t="s">
        <v>388</v>
      </c>
      <c r="B241" s="2">
        <v>45743</v>
      </c>
      <c r="C241" s="1" t="s">
        <v>102</v>
      </c>
      <c r="D241" s="1" t="s">
        <v>103</v>
      </c>
      <c r="E241" s="1" t="s">
        <v>114</v>
      </c>
      <c r="F241" s="1" t="s">
        <v>115</v>
      </c>
      <c r="G241" s="1" t="s">
        <v>33</v>
      </c>
      <c r="H241" s="3">
        <v>4</v>
      </c>
      <c r="I241" s="1">
        <v>79.989999999999995</v>
      </c>
      <c r="J241" s="1" t="s">
        <v>26</v>
      </c>
      <c r="K241" s="1" t="s">
        <v>21</v>
      </c>
      <c r="L241" s="1" t="s">
        <v>22</v>
      </c>
      <c r="M241" s="2">
        <v>45288</v>
      </c>
      <c r="N241" s="45">
        <f t="shared" si="3"/>
        <v>319.95999999999998</v>
      </c>
    </row>
    <row r="242" spans="1:14" ht="18.600000000000001" customHeight="1" thickBot="1" x14ac:dyDescent="0.35">
      <c r="A242" s="44" t="s">
        <v>389</v>
      </c>
      <c r="B242" s="2">
        <v>45745</v>
      </c>
      <c r="C242" s="1" t="s">
        <v>185</v>
      </c>
      <c r="D242" s="1" t="s">
        <v>186</v>
      </c>
      <c r="E242" s="1" t="s">
        <v>117</v>
      </c>
      <c r="F242" s="1" t="s">
        <v>118</v>
      </c>
      <c r="G242" s="1" t="s">
        <v>19</v>
      </c>
      <c r="H242" s="3">
        <v>5</v>
      </c>
      <c r="I242" s="1">
        <v>89.99</v>
      </c>
      <c r="J242" s="1" t="s">
        <v>34</v>
      </c>
      <c r="K242" s="1" t="s">
        <v>35</v>
      </c>
      <c r="L242" s="1" t="s">
        <v>22</v>
      </c>
      <c r="M242" s="2">
        <v>44704</v>
      </c>
      <c r="N242" s="45">
        <f t="shared" si="3"/>
        <v>449.95</v>
      </c>
    </row>
    <row r="243" spans="1:14" ht="18.600000000000001" customHeight="1" thickBot="1" x14ac:dyDescent="0.35">
      <c r="A243" s="44" t="s">
        <v>390</v>
      </c>
      <c r="B243" s="2">
        <v>45746</v>
      </c>
      <c r="C243" s="1" t="s">
        <v>93</v>
      </c>
      <c r="D243" s="1" t="s">
        <v>94</v>
      </c>
      <c r="E243" s="1" t="s">
        <v>44</v>
      </c>
      <c r="F243" s="1" t="s">
        <v>45</v>
      </c>
      <c r="G243" s="1" t="s">
        <v>46</v>
      </c>
      <c r="H243" s="3">
        <v>3</v>
      </c>
      <c r="I243" s="1">
        <v>149.99</v>
      </c>
      <c r="J243" s="1" t="s">
        <v>34</v>
      </c>
      <c r="K243" s="1" t="s">
        <v>21</v>
      </c>
      <c r="L243" s="1" t="s">
        <v>36</v>
      </c>
      <c r="M243" s="2">
        <v>45171</v>
      </c>
      <c r="N243" s="45">
        <f t="shared" si="3"/>
        <v>449.97</v>
      </c>
    </row>
    <row r="244" spans="1:14" ht="18.600000000000001" customHeight="1" thickBot="1" x14ac:dyDescent="0.35">
      <c r="A244" s="44" t="s">
        <v>391</v>
      </c>
      <c r="B244" s="2">
        <v>45746</v>
      </c>
      <c r="C244" s="1" t="s">
        <v>65</v>
      </c>
      <c r="D244" s="1" t="s">
        <v>66</v>
      </c>
      <c r="E244" s="1" t="s">
        <v>117</v>
      </c>
      <c r="F244" s="1" t="s">
        <v>118</v>
      </c>
      <c r="G244" s="1" t="s">
        <v>19</v>
      </c>
      <c r="H244" s="3">
        <v>2</v>
      </c>
      <c r="I244" s="1">
        <v>89.99</v>
      </c>
      <c r="J244" s="1" t="s">
        <v>57</v>
      </c>
      <c r="K244" s="1" t="s">
        <v>50</v>
      </c>
      <c r="L244" s="1" t="s">
        <v>27</v>
      </c>
      <c r="M244" s="2">
        <v>44522</v>
      </c>
      <c r="N244" s="45">
        <f t="shared" si="3"/>
        <v>179.98</v>
      </c>
    </row>
    <row r="245" spans="1:14" ht="18.600000000000001" customHeight="1" thickBot="1" x14ac:dyDescent="0.35">
      <c r="A245" s="44" t="s">
        <v>392</v>
      </c>
      <c r="B245" s="2">
        <v>45748</v>
      </c>
      <c r="C245" s="1" t="s">
        <v>102</v>
      </c>
      <c r="D245" s="1" t="s">
        <v>103</v>
      </c>
      <c r="E245" s="1" t="s">
        <v>80</v>
      </c>
      <c r="F245" s="1" t="s">
        <v>81</v>
      </c>
      <c r="G245" s="1" t="s">
        <v>19</v>
      </c>
      <c r="H245" s="3">
        <v>2</v>
      </c>
      <c r="I245" s="1">
        <v>699.99</v>
      </c>
      <c r="J245" s="1" t="s">
        <v>34</v>
      </c>
      <c r="K245" s="1" t="s">
        <v>40</v>
      </c>
      <c r="L245" s="1" t="s">
        <v>36</v>
      </c>
      <c r="M245" s="2">
        <v>44618</v>
      </c>
      <c r="N245" s="45">
        <f t="shared" si="3"/>
        <v>1399.98</v>
      </c>
    </row>
    <row r="246" spans="1:14" ht="18.600000000000001" customHeight="1" thickBot="1" x14ac:dyDescent="0.35">
      <c r="A246" s="44" t="s">
        <v>393</v>
      </c>
      <c r="B246" s="2">
        <v>45749</v>
      </c>
      <c r="C246" s="1" t="s">
        <v>123</v>
      </c>
      <c r="D246" s="1" t="s">
        <v>124</v>
      </c>
      <c r="E246" s="1" t="s">
        <v>61</v>
      </c>
      <c r="F246" s="1" t="s">
        <v>62</v>
      </c>
      <c r="G246" s="1" t="s">
        <v>19</v>
      </c>
      <c r="H246" s="3">
        <v>3</v>
      </c>
      <c r="I246" s="1">
        <v>899.99</v>
      </c>
      <c r="J246" s="1" t="s">
        <v>20</v>
      </c>
      <c r="K246" s="1" t="s">
        <v>21</v>
      </c>
      <c r="L246" s="1" t="s">
        <v>36</v>
      </c>
      <c r="M246" s="2">
        <v>44953</v>
      </c>
      <c r="N246" s="45">
        <f t="shared" si="3"/>
        <v>2699.9700000000003</v>
      </c>
    </row>
    <row r="247" spans="1:14" ht="18.600000000000001" customHeight="1" thickBot="1" x14ac:dyDescent="0.35">
      <c r="A247" s="44" t="s">
        <v>394</v>
      </c>
      <c r="B247" s="2">
        <v>45755</v>
      </c>
      <c r="C247" s="1" t="s">
        <v>93</v>
      </c>
      <c r="D247" s="1" t="s">
        <v>94</v>
      </c>
      <c r="E247" s="1" t="s">
        <v>114</v>
      </c>
      <c r="F247" s="1" t="s">
        <v>115</v>
      </c>
      <c r="G247" s="1" t="s">
        <v>33</v>
      </c>
      <c r="H247" s="3">
        <v>3</v>
      </c>
      <c r="I247" s="1">
        <v>79.989999999999995</v>
      </c>
      <c r="J247" s="1" t="s">
        <v>26</v>
      </c>
      <c r="K247" s="1" t="s">
        <v>40</v>
      </c>
      <c r="L247" s="1" t="s">
        <v>22</v>
      </c>
      <c r="M247" s="2">
        <v>44511</v>
      </c>
      <c r="N247" s="45">
        <f t="shared" si="3"/>
        <v>239.96999999999997</v>
      </c>
    </row>
    <row r="248" spans="1:14" ht="18.600000000000001" customHeight="1" thickBot="1" x14ac:dyDescent="0.35">
      <c r="A248" s="44" t="s">
        <v>395</v>
      </c>
      <c r="B248" s="2">
        <v>45756</v>
      </c>
      <c r="C248" s="1" t="s">
        <v>59</v>
      </c>
      <c r="D248" s="1" t="s">
        <v>60</v>
      </c>
      <c r="E248" s="1" t="s">
        <v>117</v>
      </c>
      <c r="F248" s="1" t="s">
        <v>118</v>
      </c>
      <c r="G248" s="1" t="s">
        <v>19</v>
      </c>
      <c r="H248" s="3">
        <v>1</v>
      </c>
      <c r="I248" s="1">
        <v>89.99</v>
      </c>
      <c r="J248" s="1" t="s">
        <v>57</v>
      </c>
      <c r="K248" s="1" t="s">
        <v>63</v>
      </c>
      <c r="L248" s="1" t="s">
        <v>22</v>
      </c>
      <c r="M248" s="2">
        <v>45346</v>
      </c>
      <c r="N248" s="45">
        <f t="shared" si="3"/>
        <v>89.99</v>
      </c>
    </row>
    <row r="249" spans="1:14" ht="18.600000000000001" customHeight="1" thickBot="1" x14ac:dyDescent="0.35">
      <c r="A249" s="44" t="s">
        <v>396</v>
      </c>
      <c r="B249" s="2">
        <v>45758</v>
      </c>
      <c r="C249" s="1" t="s">
        <v>293</v>
      </c>
      <c r="D249" s="1" t="s">
        <v>294</v>
      </c>
      <c r="E249" s="1" t="s">
        <v>80</v>
      </c>
      <c r="F249" s="1" t="s">
        <v>81</v>
      </c>
      <c r="G249" s="1" t="s">
        <v>19</v>
      </c>
      <c r="H249" s="3">
        <v>3</v>
      </c>
      <c r="I249" s="1">
        <v>699.99</v>
      </c>
      <c r="J249" s="1" t="s">
        <v>34</v>
      </c>
      <c r="K249" s="1" t="s">
        <v>40</v>
      </c>
      <c r="L249" s="1" t="s">
        <v>22</v>
      </c>
      <c r="M249" s="2">
        <v>44909</v>
      </c>
      <c r="N249" s="45">
        <f t="shared" si="3"/>
        <v>2099.9700000000003</v>
      </c>
    </row>
    <row r="250" spans="1:14" ht="18.600000000000001" customHeight="1" thickBot="1" x14ac:dyDescent="0.35">
      <c r="A250" s="44" t="s">
        <v>397</v>
      </c>
      <c r="B250" s="2">
        <v>45758</v>
      </c>
      <c r="C250" s="1" t="s">
        <v>226</v>
      </c>
      <c r="D250" s="1" t="s">
        <v>227</v>
      </c>
      <c r="E250" s="1" t="s">
        <v>117</v>
      </c>
      <c r="F250" s="1" t="s">
        <v>118</v>
      </c>
      <c r="G250" s="1" t="s">
        <v>19</v>
      </c>
      <c r="H250" s="3">
        <v>2</v>
      </c>
      <c r="I250" s="1">
        <v>89.99</v>
      </c>
      <c r="J250" s="1" t="s">
        <v>57</v>
      </c>
      <c r="K250" s="1" t="s">
        <v>63</v>
      </c>
      <c r="L250" s="1" t="s">
        <v>22</v>
      </c>
      <c r="M250" s="2">
        <v>45088</v>
      </c>
      <c r="N250" s="45">
        <f t="shared" si="3"/>
        <v>179.98</v>
      </c>
    </row>
    <row r="251" spans="1:14" ht="18.600000000000001" customHeight="1" x14ac:dyDescent="0.3">
      <c r="A251" s="50" t="s">
        <v>398</v>
      </c>
      <c r="B251" s="51">
        <v>45758</v>
      </c>
      <c r="C251" s="52" t="s">
        <v>138</v>
      </c>
      <c r="D251" s="52" t="s">
        <v>139</v>
      </c>
      <c r="E251" s="52" t="s">
        <v>117</v>
      </c>
      <c r="F251" s="52" t="s">
        <v>118</v>
      </c>
      <c r="G251" s="52" t="s">
        <v>19</v>
      </c>
      <c r="H251" s="53">
        <v>3</v>
      </c>
      <c r="I251" s="52">
        <v>89.99</v>
      </c>
      <c r="J251" s="52" t="s">
        <v>57</v>
      </c>
      <c r="K251" s="52" t="s">
        <v>40</v>
      </c>
      <c r="L251" s="52" t="s">
        <v>27</v>
      </c>
      <c r="M251" s="51">
        <v>44878</v>
      </c>
      <c r="N251" s="54">
        <f t="shared" si="3"/>
        <v>269.96999999999997</v>
      </c>
    </row>
  </sheetData>
  <scenarios current="0" show="1" sqref="P2">
    <scenario name="High Price" locked="1" count="4" user="SHRUTI SHYAM" comment="Created by Gopi_x000a__x000a_">
      <inputCells r="I2" val="1999.99"/>
      <inputCells r="I3" val="3599.99"/>
      <inputCells r="I4" val="2899.99"/>
      <inputCells r="I5" val="959.99"/>
    </scenario>
    <scenario name="Low Price" locked="1" count="4" user="SHRUTI SHYAM" comment="Created by Gopi_x000a_">
      <inputCells r="I7" val="29.99"/>
      <inputCells r="I8" val="119.99"/>
      <inputCells r="I9" val="49.99"/>
      <inputCells r="I10" val="899.99"/>
    </scenario>
  </scenarios>
  <conditionalFormatting sqref="N1:N1048576">
    <cfRule type="iconSet" priority="1">
      <iconSet iconSet="5Arrows">
        <cfvo type="percent" val="0"/>
        <cfvo type="percent" val="20"/>
        <cfvo type="percent" val="40"/>
        <cfvo type="percent" val="60"/>
        <cfvo type="percent" val="80"/>
      </iconSet>
    </cfRule>
    <cfRule type="top10" dxfId="179" priority="2" bottom="1" rank="10"/>
    <cfRule type="top10" dxfId="178" priority="3" rank="10"/>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3"/>
  <sheetViews>
    <sheetView zoomScale="80" workbookViewId="0">
      <selection activeCell="M8" sqref="M8:N8"/>
    </sheetView>
  </sheetViews>
  <sheetFormatPr defaultRowHeight="14.4" x14ac:dyDescent="0.3"/>
  <cols>
    <col min="1" max="1" width="10.33203125" customWidth="1"/>
    <col min="2" max="2" width="16.88671875" customWidth="1"/>
    <col min="4" max="5" width="11.33203125" customWidth="1"/>
    <col min="7" max="7" width="11.21875" customWidth="1"/>
    <col min="10" max="10" width="12" customWidth="1"/>
    <col min="11" max="11" width="12.109375" customWidth="1"/>
    <col min="12" max="13" width="13.21875" bestFit="1" customWidth="1"/>
    <col min="14" max="14" width="15.44140625" bestFit="1" customWidth="1"/>
    <col min="16" max="16" width="12.33203125" customWidth="1"/>
    <col min="17" max="17" width="13.33203125" customWidth="1"/>
    <col min="18" max="18" width="44.5546875" customWidth="1"/>
    <col min="21" max="21" width="11.6640625" customWidth="1"/>
    <col min="22" max="22" width="15.6640625" customWidth="1"/>
    <col min="23" max="23" width="11.88671875" customWidth="1"/>
    <col min="24" max="24" width="12.5546875" customWidth="1"/>
    <col min="25" max="25" width="15.6640625" customWidth="1"/>
  </cols>
  <sheetData>
    <row r="1" spans="1:21" ht="15" customHeight="1" thickBot="1" x14ac:dyDescent="0.35">
      <c r="A1" s="106" t="s">
        <v>480</v>
      </c>
      <c r="B1" s="107"/>
      <c r="C1" s="107"/>
      <c r="D1" s="107"/>
      <c r="E1" s="108"/>
    </row>
    <row r="2" spans="1:21" ht="15" thickBot="1" x14ac:dyDescent="0.35">
      <c r="A2" s="109"/>
      <c r="B2" s="110"/>
      <c r="C2" s="110"/>
      <c r="D2" s="110"/>
      <c r="E2" s="111"/>
      <c r="Q2" s="124" t="s">
        <v>399</v>
      </c>
      <c r="R2" s="125"/>
      <c r="T2" s="13"/>
      <c r="U2" s="13"/>
    </row>
    <row r="3" spans="1:21" x14ac:dyDescent="0.3">
      <c r="A3" s="109"/>
      <c r="B3" s="110"/>
      <c r="C3" s="110"/>
      <c r="D3" s="110"/>
      <c r="E3" s="111"/>
      <c r="G3" s="126" t="s">
        <v>404</v>
      </c>
      <c r="H3" s="127"/>
      <c r="I3" s="127"/>
      <c r="J3" s="128"/>
      <c r="L3" s="133" t="s">
        <v>463</v>
      </c>
      <c r="M3" s="133"/>
      <c r="N3" s="133"/>
      <c r="Q3" s="14"/>
      <c r="R3" s="15"/>
    </row>
    <row r="4" spans="1:21" x14ac:dyDescent="0.3">
      <c r="A4" s="109"/>
      <c r="B4" s="110"/>
      <c r="C4" s="110"/>
      <c r="D4" s="110"/>
      <c r="E4" s="111"/>
      <c r="G4" s="129" t="s">
        <v>405</v>
      </c>
      <c r="H4" s="130"/>
      <c r="I4" s="131" t="s">
        <v>406</v>
      </c>
      <c r="J4" s="132"/>
      <c r="L4" s="134" t="s">
        <v>16</v>
      </c>
      <c r="M4" s="134"/>
      <c r="N4" s="43" t="str">
        <f>UPPER(LEFT(RawData!D2,1) &amp; LEFT(RIGHT(RawData!D2,LEN(RawData!D2)-FIND(" ",RawData!D2)),1))</f>
        <v>PB</v>
      </c>
      <c r="Q4" s="16" t="s">
        <v>400</v>
      </c>
      <c r="R4" s="17">
        <f ca="1">TODAY()</f>
        <v>45986</v>
      </c>
    </row>
    <row r="5" spans="1:21" x14ac:dyDescent="0.3">
      <c r="A5" s="109"/>
      <c r="B5" s="110"/>
      <c r="C5" s="110"/>
      <c r="D5" s="110"/>
      <c r="E5" s="111"/>
      <c r="G5" s="22"/>
      <c r="H5" s="23"/>
      <c r="I5" s="23"/>
      <c r="J5" s="24"/>
      <c r="Q5" s="18" t="s">
        <v>401</v>
      </c>
      <c r="R5" s="19">
        <f ca="1">NOW()</f>
        <v>45986.702298842596</v>
      </c>
    </row>
    <row r="6" spans="1:21" ht="15" thickBot="1" x14ac:dyDescent="0.35">
      <c r="A6" s="109"/>
      <c r="B6" s="110"/>
      <c r="C6" s="110"/>
      <c r="D6" s="110"/>
      <c r="E6" s="111"/>
      <c r="G6" s="25" t="s">
        <v>33</v>
      </c>
      <c r="H6" s="26" cm="1">
        <f t="array" ref="H6">SUM(_xlfn._xlws.FILTER(RawData!N2:N251, RawData!G2:G251 = DataAnalysis!G6))</f>
        <v>20318.769999999997</v>
      </c>
      <c r="I6" s="27" t="s">
        <v>63</v>
      </c>
      <c r="J6" s="28" cm="1">
        <f t="array" ref="J6">SUM(_xlfn._xlws.FILTER(RawData!N2:N251,RawData!K2:K251 = DataAnalysis!I6))</f>
        <v>59288.389999999992</v>
      </c>
      <c r="L6" s="205" t="s">
        <v>489</v>
      </c>
      <c r="M6" s="205"/>
      <c r="N6" s="205"/>
      <c r="Q6" s="18" t="s">
        <v>402</v>
      </c>
      <c r="R6" s="99" t="s">
        <v>488</v>
      </c>
    </row>
    <row r="7" spans="1:21" ht="15" thickBot="1" x14ac:dyDescent="0.35">
      <c r="A7" s="109"/>
      <c r="B7" s="110"/>
      <c r="C7" s="110"/>
      <c r="D7" s="110"/>
      <c r="E7" s="111"/>
      <c r="L7" s="208" t="s">
        <v>490</v>
      </c>
      <c r="M7" s="206" t="s">
        <v>491</v>
      </c>
      <c r="N7" s="206"/>
      <c r="Q7" s="20" t="s">
        <v>403</v>
      </c>
      <c r="R7" s="21">
        <f>EOMONTH(Q3,0)</f>
        <v>31</v>
      </c>
    </row>
    <row r="8" spans="1:21" ht="15" thickBot="1" x14ac:dyDescent="0.35">
      <c r="A8" s="112"/>
      <c r="B8" s="113"/>
      <c r="C8" s="113"/>
      <c r="D8" s="113"/>
      <c r="E8" s="114"/>
      <c r="L8" s="208" t="s">
        <v>492</v>
      </c>
      <c r="M8" s="207">
        <f ca="1">IF(M7&lt;&gt;"", IF(M8="", NOW(), M8), "")</f>
        <v>45986.70165787037</v>
      </c>
      <c r="N8" s="207"/>
    </row>
    <row r="10" spans="1:21" ht="15" thickBot="1" x14ac:dyDescent="0.35"/>
    <row r="11" spans="1:21" ht="24" thickBot="1" x14ac:dyDescent="0.5">
      <c r="A11" s="118" t="s">
        <v>407</v>
      </c>
      <c r="B11" s="119"/>
      <c r="C11" s="119"/>
      <c r="D11" s="119"/>
      <c r="E11" s="119"/>
      <c r="F11" s="119"/>
      <c r="G11" s="120"/>
      <c r="I11" s="115" t="s">
        <v>435</v>
      </c>
      <c r="J11" s="116"/>
      <c r="K11" s="116"/>
      <c r="L11" s="116"/>
      <c r="M11" s="116"/>
      <c r="N11" s="116"/>
      <c r="O11" s="116"/>
      <c r="P11" s="116"/>
      <c r="Q11" s="116"/>
      <c r="R11" s="117"/>
    </row>
    <row r="12" spans="1:21" x14ac:dyDescent="0.3">
      <c r="A12" s="121" t="s">
        <v>408</v>
      </c>
      <c r="B12" s="122"/>
      <c r="C12" s="122"/>
      <c r="D12" s="122"/>
      <c r="E12" s="122"/>
      <c r="F12" s="122"/>
      <c r="G12" s="123"/>
      <c r="I12" s="55" t="s">
        <v>410</v>
      </c>
      <c r="J12" s="56"/>
      <c r="K12" s="56"/>
      <c r="L12" s="56"/>
      <c r="M12" s="56"/>
      <c r="N12" s="56"/>
      <c r="O12" s="56"/>
      <c r="P12" s="56"/>
      <c r="Q12" s="56"/>
      <c r="R12" s="57"/>
    </row>
    <row r="13" spans="1:21" ht="15" thickBot="1" x14ac:dyDescent="0.35">
      <c r="A13" s="121" t="s">
        <v>409</v>
      </c>
      <c r="B13" s="122"/>
      <c r="C13" s="122"/>
      <c r="D13" s="122"/>
      <c r="E13" s="122"/>
      <c r="F13" s="122"/>
      <c r="G13" s="123"/>
      <c r="I13" s="55"/>
      <c r="J13" s="56"/>
      <c r="K13" s="56"/>
      <c r="L13" s="56"/>
      <c r="M13" s="56"/>
      <c r="N13" s="56"/>
      <c r="O13" s="56"/>
      <c r="P13" s="56"/>
      <c r="Q13" s="56"/>
      <c r="R13" s="57"/>
    </row>
    <row r="14" spans="1:21" x14ac:dyDescent="0.3">
      <c r="A14" s="100"/>
      <c r="B14" s="101"/>
      <c r="C14" s="101"/>
      <c r="D14" s="101"/>
      <c r="E14" s="101"/>
      <c r="F14" s="101"/>
      <c r="G14" s="102"/>
      <c r="I14" s="58" t="s">
        <v>411</v>
      </c>
      <c r="J14" s="59"/>
      <c r="K14" s="56"/>
      <c r="L14" s="56"/>
      <c r="M14" s="56"/>
      <c r="N14" s="56"/>
      <c r="O14" s="56"/>
      <c r="P14" s="56"/>
      <c r="Q14" s="56"/>
      <c r="R14" s="57"/>
    </row>
    <row r="15" spans="1:21" x14ac:dyDescent="0.3">
      <c r="A15" s="100"/>
      <c r="B15" s="101"/>
      <c r="C15" s="101"/>
      <c r="D15" s="101"/>
      <c r="E15" s="101"/>
      <c r="F15" s="101"/>
      <c r="G15" s="102"/>
      <c r="I15" s="55" t="s">
        <v>412</v>
      </c>
      <c r="J15" s="56">
        <v>0.27278377890147826</v>
      </c>
      <c r="K15" s="56"/>
      <c r="L15" s="56"/>
      <c r="M15" s="56"/>
      <c r="N15" s="56"/>
      <c r="O15" s="56"/>
      <c r="P15" s="56"/>
      <c r="Q15" s="56"/>
      <c r="R15" s="57"/>
    </row>
    <row r="16" spans="1:21" x14ac:dyDescent="0.3">
      <c r="A16" s="100"/>
      <c r="B16" s="101"/>
      <c r="C16" s="101"/>
      <c r="D16" s="101"/>
      <c r="E16" s="101"/>
      <c r="F16" s="101"/>
      <c r="G16" s="102"/>
      <c r="I16" s="55" t="s">
        <v>413</v>
      </c>
      <c r="J16" s="56">
        <v>7.4410990031770569E-2</v>
      </c>
      <c r="K16" s="56"/>
      <c r="L16" s="56"/>
      <c r="M16" s="56"/>
      <c r="N16" s="56"/>
      <c r="O16" s="56"/>
      <c r="P16" s="56"/>
      <c r="Q16" s="56"/>
      <c r="R16" s="57"/>
    </row>
    <row r="17" spans="1:18" x14ac:dyDescent="0.3">
      <c r="A17" s="100"/>
      <c r="B17" s="101"/>
      <c r="C17" s="101"/>
      <c r="D17" s="101"/>
      <c r="E17" s="101"/>
      <c r="F17" s="101"/>
      <c r="G17" s="102"/>
      <c r="I17" s="55" t="s">
        <v>414</v>
      </c>
      <c r="J17" s="56">
        <v>7.0678776281898684E-2</v>
      </c>
      <c r="K17" s="56"/>
      <c r="L17" s="56"/>
      <c r="M17" s="56"/>
      <c r="N17" s="56"/>
      <c r="O17" s="56"/>
      <c r="P17" s="56"/>
      <c r="Q17" s="56"/>
      <c r="R17" s="57"/>
    </row>
    <row r="18" spans="1:18" x14ac:dyDescent="0.3">
      <c r="A18" s="100"/>
      <c r="B18" s="101"/>
      <c r="C18" s="101"/>
      <c r="D18" s="101"/>
      <c r="E18" s="101"/>
      <c r="F18" s="101"/>
      <c r="G18" s="102"/>
      <c r="I18" s="55" t="s">
        <v>415</v>
      </c>
      <c r="J18" s="56">
        <v>1294.4021449614008</v>
      </c>
      <c r="K18" s="56"/>
      <c r="L18" s="56"/>
      <c r="M18" s="56"/>
      <c r="N18" s="56"/>
      <c r="O18" s="56"/>
      <c r="P18" s="56"/>
      <c r="Q18" s="56"/>
      <c r="R18" s="57"/>
    </row>
    <row r="19" spans="1:18" ht="15" thickBot="1" x14ac:dyDescent="0.35">
      <c r="A19" s="100"/>
      <c r="B19" s="101"/>
      <c r="C19" s="101"/>
      <c r="D19" s="101"/>
      <c r="E19" s="101"/>
      <c r="F19" s="101"/>
      <c r="G19" s="102"/>
      <c r="I19" s="60" t="s">
        <v>416</v>
      </c>
      <c r="J19" s="61">
        <v>250</v>
      </c>
      <c r="K19" s="56"/>
      <c r="L19" s="56"/>
      <c r="M19" s="56"/>
      <c r="N19" s="56"/>
      <c r="O19" s="56"/>
      <c r="P19" s="56"/>
      <c r="Q19" s="56"/>
      <c r="R19" s="57"/>
    </row>
    <row r="20" spans="1:18" x14ac:dyDescent="0.3">
      <c r="A20" s="100"/>
      <c r="B20" s="101"/>
      <c r="C20" s="101"/>
      <c r="D20" s="101"/>
      <c r="E20" s="101"/>
      <c r="F20" s="101"/>
      <c r="G20" s="102"/>
      <c r="I20" s="55"/>
      <c r="J20" s="56"/>
      <c r="K20" s="56"/>
      <c r="L20" s="56"/>
      <c r="M20" s="56"/>
      <c r="N20" s="56"/>
      <c r="O20" s="56"/>
      <c r="P20" s="56"/>
      <c r="Q20" s="56"/>
      <c r="R20" s="57"/>
    </row>
    <row r="21" spans="1:18" ht="15" thickBot="1" x14ac:dyDescent="0.35">
      <c r="A21" s="100"/>
      <c r="B21" s="101"/>
      <c r="C21" s="101"/>
      <c r="D21" s="101"/>
      <c r="E21" s="101"/>
      <c r="F21" s="101"/>
      <c r="G21" s="102"/>
      <c r="I21" s="55" t="s">
        <v>417</v>
      </c>
      <c r="J21" s="56"/>
      <c r="K21" s="56"/>
      <c r="L21" s="56"/>
      <c r="M21" s="56"/>
      <c r="N21" s="56"/>
      <c r="O21" s="56"/>
      <c r="P21" s="56"/>
      <c r="Q21" s="56"/>
      <c r="R21" s="57"/>
    </row>
    <row r="22" spans="1:18" ht="15" thickBot="1" x14ac:dyDescent="0.35">
      <c r="A22" s="103"/>
      <c r="B22" s="104"/>
      <c r="C22" s="104"/>
      <c r="D22" s="104"/>
      <c r="E22" s="104"/>
      <c r="F22" s="104"/>
      <c r="G22" s="105"/>
      <c r="I22" s="62"/>
      <c r="J22" s="63" t="s">
        <v>422</v>
      </c>
      <c r="K22" s="63" t="s">
        <v>423</v>
      </c>
      <c r="L22" s="63" t="s">
        <v>424</v>
      </c>
      <c r="M22" s="63" t="s">
        <v>425</v>
      </c>
      <c r="N22" s="63" t="s">
        <v>426</v>
      </c>
      <c r="O22" s="56"/>
      <c r="P22" s="56"/>
      <c r="Q22" s="56"/>
      <c r="R22" s="57"/>
    </row>
    <row r="23" spans="1:18" x14ac:dyDescent="0.3">
      <c r="I23" s="55" t="s">
        <v>418</v>
      </c>
      <c r="J23" s="56">
        <v>1</v>
      </c>
      <c r="K23" s="56">
        <v>33404811.250991464</v>
      </c>
      <c r="L23" s="56">
        <v>33404811.250991464</v>
      </c>
      <c r="M23" s="56">
        <v>19.937494210862042</v>
      </c>
      <c r="N23" s="56">
        <v>1.2158559098004445E-5</v>
      </c>
      <c r="O23" s="56"/>
      <c r="P23" s="56"/>
      <c r="Q23" s="56"/>
      <c r="R23" s="57"/>
    </row>
    <row r="24" spans="1:18" ht="15" thickBot="1" x14ac:dyDescent="0.35">
      <c r="I24" s="55" t="s">
        <v>419</v>
      </c>
      <c r="J24" s="56">
        <v>248</v>
      </c>
      <c r="K24" s="56">
        <v>415518274.39440745</v>
      </c>
      <c r="L24" s="56">
        <v>1675476.9128806752</v>
      </c>
      <c r="M24" s="56"/>
      <c r="N24" s="56"/>
      <c r="O24" s="56"/>
      <c r="P24" s="56"/>
      <c r="Q24" s="56"/>
      <c r="R24" s="57"/>
    </row>
    <row r="25" spans="1:18" ht="16.8" thickBot="1" x14ac:dyDescent="0.35">
      <c r="A25" s="6" t="s">
        <v>449</v>
      </c>
      <c r="B25" s="5"/>
      <c r="C25" s="36"/>
      <c r="D25" s="36"/>
      <c r="E25" s="37"/>
      <c r="F25" s="31"/>
      <c r="I25" s="60" t="s">
        <v>420</v>
      </c>
      <c r="J25" s="61">
        <v>249</v>
      </c>
      <c r="K25" s="61">
        <v>448923085.64539891</v>
      </c>
      <c r="L25" s="61"/>
      <c r="M25" s="61"/>
      <c r="N25" s="61"/>
      <c r="O25" s="56"/>
      <c r="P25" s="56"/>
      <c r="Q25" s="56"/>
      <c r="R25" s="57"/>
    </row>
    <row r="26" spans="1:18" ht="16.8" thickBot="1" x14ac:dyDescent="0.35">
      <c r="A26" s="38"/>
      <c r="B26" s="29"/>
      <c r="C26" s="30" t="s">
        <v>451</v>
      </c>
      <c r="D26" s="30" t="s">
        <v>445</v>
      </c>
      <c r="E26" s="39" t="s">
        <v>447</v>
      </c>
      <c r="F26" s="31"/>
      <c r="I26" s="55"/>
      <c r="J26" s="56"/>
      <c r="K26" s="56"/>
      <c r="L26" s="56"/>
      <c r="M26" s="56"/>
      <c r="N26" s="56"/>
      <c r="O26" s="56"/>
      <c r="P26" s="56"/>
      <c r="Q26" s="56"/>
      <c r="R26" s="57"/>
    </row>
    <row r="27" spans="1:18" ht="36" x14ac:dyDescent="0.3">
      <c r="A27" s="8"/>
      <c r="B27" s="32"/>
      <c r="C27" s="31"/>
      <c r="D27" s="33" t="s">
        <v>446</v>
      </c>
      <c r="E27" s="40" t="s">
        <v>448</v>
      </c>
      <c r="F27" s="31"/>
      <c r="I27" s="62"/>
      <c r="J27" s="63" t="s">
        <v>427</v>
      </c>
      <c r="K27" s="63" t="s">
        <v>415</v>
      </c>
      <c r="L27" s="63" t="s">
        <v>428</v>
      </c>
      <c r="M27" s="63" t="s">
        <v>429</v>
      </c>
      <c r="N27" s="63" t="s">
        <v>430</v>
      </c>
      <c r="O27" s="63" t="s">
        <v>431</v>
      </c>
      <c r="P27" s="63" t="s">
        <v>432</v>
      </c>
      <c r="Q27" s="63" t="s">
        <v>433</v>
      </c>
      <c r="R27" s="57"/>
    </row>
    <row r="28" spans="1:18" x14ac:dyDescent="0.3">
      <c r="A28" s="41" t="s">
        <v>450</v>
      </c>
      <c r="B28" s="34"/>
      <c r="C28" s="31"/>
      <c r="D28" s="31"/>
      <c r="E28" s="7"/>
      <c r="F28" s="31"/>
      <c r="I28" s="55" t="s">
        <v>421</v>
      </c>
      <c r="J28" s="56">
        <v>367.56677931701006</v>
      </c>
      <c r="K28" s="56">
        <v>168.52213896056688</v>
      </c>
      <c r="L28" s="56">
        <v>2.1811186446133251</v>
      </c>
      <c r="M28" s="56">
        <v>3.0114403946968463E-2</v>
      </c>
      <c r="N28" s="56">
        <v>35.649677323282731</v>
      </c>
      <c r="O28" s="56">
        <v>699.48388131073739</v>
      </c>
      <c r="P28" s="56">
        <v>35.649677323282731</v>
      </c>
      <c r="Q28" s="56">
        <v>699.48388131073739</v>
      </c>
      <c r="R28" s="57"/>
    </row>
    <row r="29" spans="1:18" ht="15" thickBot="1" x14ac:dyDescent="0.35">
      <c r="A29" s="8"/>
      <c r="B29" s="32" t="s">
        <v>436</v>
      </c>
      <c r="C29" s="31">
        <v>1999.99</v>
      </c>
      <c r="D29" s="35">
        <v>1999.99</v>
      </c>
      <c r="E29" s="7">
        <v>1999.99</v>
      </c>
      <c r="F29" s="31"/>
      <c r="I29" s="60" t="s">
        <v>434</v>
      </c>
      <c r="J29" s="61">
        <v>213.54539067313601</v>
      </c>
      <c r="K29" s="61">
        <v>47.824992938146877</v>
      </c>
      <c r="L29" s="61">
        <v>4.4651421266139861</v>
      </c>
      <c r="M29" s="61">
        <v>1.2158559097999334E-5</v>
      </c>
      <c r="N29" s="61">
        <v>119.35044894732165</v>
      </c>
      <c r="O29" s="61">
        <v>307.74033239895039</v>
      </c>
      <c r="P29" s="61">
        <v>119.35044894732165</v>
      </c>
      <c r="Q29" s="61">
        <v>307.74033239895039</v>
      </c>
      <c r="R29" s="57"/>
    </row>
    <row r="30" spans="1:18" ht="15" thickBot="1" x14ac:dyDescent="0.35">
      <c r="A30" s="8"/>
      <c r="B30" s="32" t="s">
        <v>437</v>
      </c>
      <c r="C30" s="31">
        <v>3599.99</v>
      </c>
      <c r="D30" s="35">
        <v>3599.99</v>
      </c>
      <c r="E30" s="7">
        <v>3599.99</v>
      </c>
      <c r="F30" s="31"/>
      <c r="I30" s="60"/>
      <c r="J30" s="61"/>
      <c r="K30" s="61"/>
      <c r="L30" s="61"/>
      <c r="M30" s="61"/>
      <c r="N30" s="61"/>
      <c r="O30" s="61"/>
      <c r="P30" s="61"/>
      <c r="Q30" s="61"/>
      <c r="R30" s="64"/>
    </row>
    <row r="31" spans="1:18" x14ac:dyDescent="0.3">
      <c r="A31" s="8"/>
      <c r="B31" s="32" t="s">
        <v>438</v>
      </c>
      <c r="C31" s="31">
        <v>2899.99</v>
      </c>
      <c r="D31" s="35">
        <v>2899.99</v>
      </c>
      <c r="E31" s="7">
        <v>2899.99</v>
      </c>
      <c r="F31" s="31"/>
    </row>
    <row r="32" spans="1:18" x14ac:dyDescent="0.3">
      <c r="A32" s="8"/>
      <c r="B32" s="32" t="s">
        <v>439</v>
      </c>
      <c r="C32" s="31">
        <v>959.99</v>
      </c>
      <c r="D32" s="35">
        <v>959.99</v>
      </c>
      <c r="E32" s="7">
        <v>959.99</v>
      </c>
      <c r="F32" s="31"/>
      <c r="I32" s="137" t="s">
        <v>459</v>
      </c>
      <c r="J32" s="138"/>
      <c r="K32" s="138"/>
      <c r="L32" s="138"/>
      <c r="M32" s="138"/>
      <c r="N32" s="138"/>
    </row>
    <row r="33" spans="1:14" x14ac:dyDescent="0.3">
      <c r="A33" s="8"/>
      <c r="B33" s="32" t="s">
        <v>440</v>
      </c>
      <c r="C33" s="31">
        <v>29.99</v>
      </c>
      <c r="D33" s="31">
        <v>29.99</v>
      </c>
      <c r="E33" s="42">
        <v>29.99</v>
      </c>
      <c r="F33" s="31"/>
      <c r="I33" s="135" t="s">
        <v>457</v>
      </c>
      <c r="J33" s="135"/>
      <c r="K33" s="135"/>
      <c r="L33" s="135" t="s">
        <v>458</v>
      </c>
      <c r="M33" s="135"/>
      <c r="N33" s="135"/>
    </row>
    <row r="34" spans="1:14" x14ac:dyDescent="0.3">
      <c r="A34" s="8"/>
      <c r="B34" s="32" t="s">
        <v>441</v>
      </c>
      <c r="C34" s="31">
        <v>119.99</v>
      </c>
      <c r="D34" s="31">
        <v>119.99</v>
      </c>
      <c r="E34" s="42">
        <v>119.99</v>
      </c>
      <c r="F34" s="31"/>
      <c r="I34" s="135"/>
      <c r="J34" s="135"/>
      <c r="K34" s="135"/>
      <c r="L34" s="135"/>
      <c r="M34" s="135"/>
      <c r="N34" s="135"/>
    </row>
    <row r="35" spans="1:14" x14ac:dyDescent="0.3">
      <c r="A35" s="8"/>
      <c r="B35" s="32" t="s">
        <v>442</v>
      </c>
      <c r="C35" s="31">
        <v>49.99</v>
      </c>
      <c r="D35" s="31">
        <v>49.99</v>
      </c>
      <c r="E35" s="42">
        <v>49.99</v>
      </c>
      <c r="F35" s="31"/>
      <c r="I35" s="136">
        <f>SUMIFS(RawData!$N$2:$N$250, RawData!$C$2:$C$250, RawData!C2)</f>
        <v>13559.74</v>
      </c>
      <c r="J35" s="136"/>
      <c r="K35" s="136"/>
      <c r="L35" s="136">
        <f>SUMIFS(RawData!$N$2:$N$250, RawData!$E$2:$E$250, RawData!E2)</f>
        <v>37299.119999999995</v>
      </c>
      <c r="M35" s="136"/>
      <c r="N35" s="136"/>
    </row>
    <row r="36" spans="1:14" x14ac:dyDescent="0.3">
      <c r="A36" s="8"/>
      <c r="B36" s="32" t="s">
        <v>443</v>
      </c>
      <c r="C36" s="31">
        <v>899.99</v>
      </c>
      <c r="D36" s="31">
        <v>899.99</v>
      </c>
      <c r="E36" s="42">
        <v>899.99</v>
      </c>
      <c r="F36" s="31"/>
      <c r="I36" s="136"/>
      <c r="J36" s="136"/>
      <c r="K36" s="136"/>
      <c r="L36" s="136"/>
      <c r="M36" s="136"/>
      <c r="N36" s="136"/>
    </row>
    <row r="37" spans="1:14" x14ac:dyDescent="0.3">
      <c r="A37" s="41" t="s">
        <v>452</v>
      </c>
      <c r="B37" s="34"/>
      <c r="C37" s="31"/>
      <c r="D37" s="31"/>
      <c r="E37" s="7"/>
      <c r="F37" s="31"/>
      <c r="H37" t="s">
        <v>456</v>
      </c>
    </row>
    <row r="38" spans="1:14" x14ac:dyDescent="0.3">
      <c r="A38" s="8"/>
      <c r="B38" s="32" t="s">
        <v>444</v>
      </c>
      <c r="C38" s="31"/>
      <c r="D38" s="31"/>
      <c r="E38" s="7"/>
      <c r="F38" s="31"/>
    </row>
    <row r="39" spans="1:14" x14ac:dyDescent="0.3">
      <c r="A39" s="9" t="s">
        <v>453</v>
      </c>
      <c r="B39" s="31"/>
      <c r="C39" s="31"/>
      <c r="D39" s="31"/>
      <c r="E39" s="7"/>
      <c r="F39" s="31"/>
    </row>
    <row r="40" spans="1:14" x14ac:dyDescent="0.3">
      <c r="A40" s="9" t="s">
        <v>454</v>
      </c>
      <c r="B40" s="31"/>
      <c r="C40" s="31"/>
      <c r="D40" s="31"/>
      <c r="E40" s="7"/>
      <c r="F40" s="31"/>
      <c r="I40" s="141" t="s">
        <v>462</v>
      </c>
      <c r="J40" s="142"/>
      <c r="K40" s="142"/>
      <c r="L40" s="142"/>
      <c r="M40" s="142"/>
      <c r="N40" s="142"/>
    </row>
    <row r="41" spans="1:14" ht="15" thickBot="1" x14ac:dyDescent="0.35">
      <c r="A41" s="10" t="s">
        <v>455</v>
      </c>
      <c r="B41" s="11"/>
      <c r="C41" s="11"/>
      <c r="D41" s="11"/>
      <c r="E41" s="12"/>
      <c r="F41" s="31"/>
      <c r="I41" s="140" t="s">
        <v>460</v>
      </c>
      <c r="J41" s="139"/>
      <c r="K41" s="139"/>
      <c r="L41" s="140" t="s">
        <v>461</v>
      </c>
      <c r="M41" s="140"/>
      <c r="N41" s="140"/>
    </row>
    <row r="42" spans="1:14" x14ac:dyDescent="0.3">
      <c r="I42" s="139"/>
      <c r="J42" s="139"/>
      <c r="K42" s="139"/>
      <c r="L42" s="140"/>
      <c r="M42" s="140"/>
      <c r="N42" s="140"/>
    </row>
    <row r="43" spans="1:14" x14ac:dyDescent="0.3">
      <c r="I43" s="139" t="str" cm="1">
        <f t="array" ref="I43">INDEX(RawData!F2:F250, MODE(MATCH(RawData!F2:F250, RawData!F2:F250, 0)))</f>
        <v>Bookshelf</v>
      </c>
      <c r="J43" s="139"/>
      <c r="K43" s="139"/>
      <c r="L43" s="139" t="str" cm="1">
        <f t="array" ref="L43">INDEX(RawData!E2:E250, MODE(MATCH(RawData!E2:E250, RawData!E2:E250, 0)))</f>
        <v>P008</v>
      </c>
      <c r="M43" s="139"/>
      <c r="N43" s="139"/>
    </row>
  </sheetData>
  <mergeCells count="25">
    <mergeCell ref="L43:N43"/>
    <mergeCell ref="I43:K43"/>
    <mergeCell ref="I41:K42"/>
    <mergeCell ref="L41:N42"/>
    <mergeCell ref="I40:N40"/>
    <mergeCell ref="I33:K34"/>
    <mergeCell ref="L33:N34"/>
    <mergeCell ref="I35:K36"/>
    <mergeCell ref="L35:N36"/>
    <mergeCell ref="I32:N32"/>
    <mergeCell ref="A14:G22"/>
    <mergeCell ref="A1:E8"/>
    <mergeCell ref="I11:R11"/>
    <mergeCell ref="A11:G11"/>
    <mergeCell ref="A12:G12"/>
    <mergeCell ref="A13:G13"/>
    <mergeCell ref="Q2:R2"/>
    <mergeCell ref="G3:J3"/>
    <mergeCell ref="G4:H4"/>
    <mergeCell ref="I4:J4"/>
    <mergeCell ref="L3:N3"/>
    <mergeCell ref="L4:M4"/>
    <mergeCell ref="L6:N6"/>
    <mergeCell ref="M7:N7"/>
    <mergeCell ref="M8:N8"/>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RawData!$G$234:$G$236</xm:f>
          </x14:formula1>
          <xm:sqref>G6</xm:sqref>
        </x14:dataValidation>
        <x14:dataValidation type="list" allowBlank="1" showInputMessage="1" showErrorMessage="1" xr:uid="{00000000-0002-0000-0200-000001000000}">
          <x14:formula1>
            <xm:f>RawData!$K$62:$K$66</xm:f>
          </x14:formula1>
          <xm:sqref>I6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L27"/>
  <sheetViews>
    <sheetView zoomScale="94" workbookViewId="0">
      <selection activeCell="E5" sqref="E5:F26"/>
    </sheetView>
  </sheetViews>
  <sheetFormatPr defaultRowHeight="14.4" x14ac:dyDescent="0.3"/>
  <cols>
    <col min="2" max="2" width="12.44140625" customWidth="1"/>
    <col min="3" max="3" width="19" customWidth="1"/>
    <col min="5" max="6" width="14.21875" customWidth="1"/>
    <col min="8" max="8" width="12.44140625" customWidth="1"/>
    <col min="9" max="9" width="19" customWidth="1"/>
    <col min="11" max="11" width="15.21875" customWidth="1"/>
    <col min="12" max="12" width="19.77734375" customWidth="1"/>
  </cols>
  <sheetData>
    <row r="1" spans="2:12" ht="30.6" customHeight="1" thickBot="1" x14ac:dyDescent="0.35">
      <c r="B1" s="159" t="s">
        <v>485</v>
      </c>
      <c r="C1" s="160"/>
      <c r="D1" s="160"/>
      <c r="E1" s="160"/>
      <c r="F1" s="160"/>
      <c r="G1" s="160"/>
      <c r="H1" s="160"/>
      <c r="I1" s="160"/>
      <c r="J1" s="160"/>
      <c r="K1" s="160"/>
      <c r="L1" s="161"/>
    </row>
    <row r="2" spans="2:12" x14ac:dyDescent="0.3">
      <c r="B2" s="143" t="s">
        <v>481</v>
      </c>
      <c r="C2" s="144"/>
      <c r="D2" s="81"/>
      <c r="E2" s="147" t="s">
        <v>482</v>
      </c>
      <c r="F2" s="148"/>
      <c r="G2" s="81"/>
      <c r="H2" s="151" t="s">
        <v>483</v>
      </c>
      <c r="I2" s="152"/>
      <c r="J2" s="81"/>
      <c r="K2" s="155" t="s">
        <v>484</v>
      </c>
      <c r="L2" s="156"/>
    </row>
    <row r="3" spans="2:12" ht="15" thickBot="1" x14ac:dyDescent="0.35">
      <c r="B3" s="145"/>
      <c r="C3" s="146"/>
      <c r="D3" s="80"/>
      <c r="E3" s="149"/>
      <c r="F3" s="150"/>
      <c r="G3" s="80"/>
      <c r="H3" s="153"/>
      <c r="I3" s="154"/>
      <c r="J3" s="80"/>
      <c r="K3" s="157"/>
      <c r="L3" s="158"/>
    </row>
    <row r="4" spans="2:12" ht="15" thickBot="1" x14ac:dyDescent="0.35">
      <c r="B4" s="65"/>
      <c r="C4" s="66"/>
      <c r="D4" s="80"/>
      <c r="E4" s="65"/>
      <c r="F4" s="66"/>
      <c r="G4" s="80"/>
      <c r="H4" s="65"/>
      <c r="I4" s="66"/>
      <c r="J4" s="80"/>
      <c r="K4" s="65"/>
      <c r="L4" s="66"/>
    </row>
    <row r="5" spans="2:12" ht="15" thickBot="1" x14ac:dyDescent="0.35">
      <c r="B5" s="67" t="s">
        <v>464</v>
      </c>
      <c r="C5" s="68" t="s">
        <v>466</v>
      </c>
      <c r="D5" s="80"/>
      <c r="E5" s="67" t="s">
        <v>464</v>
      </c>
      <c r="F5" s="71" t="s">
        <v>467</v>
      </c>
      <c r="G5" s="80"/>
      <c r="H5" s="67" t="s">
        <v>464</v>
      </c>
      <c r="I5" s="68" t="s">
        <v>466</v>
      </c>
      <c r="J5" s="80"/>
      <c r="K5" s="75" t="s">
        <v>464</v>
      </c>
      <c r="L5" s="76" t="s">
        <v>466</v>
      </c>
    </row>
    <row r="6" spans="2:12" x14ac:dyDescent="0.3">
      <c r="B6" s="69" t="s">
        <v>20</v>
      </c>
      <c r="C6" s="70">
        <v>65317.790000000037</v>
      </c>
      <c r="D6" s="80"/>
      <c r="E6" s="69" t="s">
        <v>32</v>
      </c>
      <c r="F6" s="72">
        <v>104.00400080016003</v>
      </c>
      <c r="G6" s="80"/>
      <c r="H6" s="69" t="s">
        <v>21</v>
      </c>
      <c r="I6" s="70">
        <v>56438.340000000011</v>
      </c>
      <c r="J6" s="80"/>
      <c r="K6" s="77" t="s">
        <v>468</v>
      </c>
      <c r="L6" s="78">
        <v>25799.15</v>
      </c>
    </row>
    <row r="7" spans="2:12" x14ac:dyDescent="0.3">
      <c r="B7" s="69" t="s">
        <v>26</v>
      </c>
      <c r="C7" s="70">
        <v>71347.960000000021</v>
      </c>
      <c r="D7" s="80"/>
      <c r="E7" s="69" t="s">
        <v>31</v>
      </c>
      <c r="F7" s="72">
        <v>104.00400080016003</v>
      </c>
      <c r="G7" s="80"/>
      <c r="H7" s="69" t="s">
        <v>63</v>
      </c>
      <c r="I7" s="70">
        <v>59288.389999999992</v>
      </c>
      <c r="J7" s="80"/>
      <c r="K7" s="77" t="s">
        <v>469</v>
      </c>
      <c r="L7" s="78">
        <v>16069.380000000001</v>
      </c>
    </row>
    <row r="8" spans="2:12" x14ac:dyDescent="0.3">
      <c r="B8" s="69" t="s">
        <v>57</v>
      </c>
      <c r="C8" s="70">
        <v>52938.340000000004</v>
      </c>
      <c r="D8" s="80"/>
      <c r="E8" s="69" t="s">
        <v>45</v>
      </c>
      <c r="F8" s="72">
        <v>102</v>
      </c>
      <c r="G8" s="80"/>
      <c r="H8" s="69" t="s">
        <v>40</v>
      </c>
      <c r="I8" s="70">
        <v>53508.310000000012</v>
      </c>
      <c r="J8" s="80"/>
      <c r="K8" s="77" t="s">
        <v>470</v>
      </c>
      <c r="L8" s="78">
        <v>19899.379999999997</v>
      </c>
    </row>
    <row r="9" spans="2:12" ht="15" thickBot="1" x14ac:dyDescent="0.35">
      <c r="B9" s="69" t="s">
        <v>34</v>
      </c>
      <c r="C9" s="70">
        <v>66718.41</v>
      </c>
      <c r="D9" s="80"/>
      <c r="E9" s="69" t="s">
        <v>44</v>
      </c>
      <c r="F9" s="72">
        <v>102</v>
      </c>
      <c r="G9" s="80"/>
      <c r="H9" s="69" t="s">
        <v>35</v>
      </c>
      <c r="I9" s="70">
        <v>45738.780000000006</v>
      </c>
      <c r="J9" s="80"/>
      <c r="K9" s="77" t="s">
        <v>471</v>
      </c>
      <c r="L9" s="78">
        <v>55029.19</v>
      </c>
    </row>
    <row r="10" spans="2:12" ht="15" thickBot="1" x14ac:dyDescent="0.35">
      <c r="B10" s="67" t="s">
        <v>465</v>
      </c>
      <c r="C10" s="68">
        <v>256322.50000000006</v>
      </c>
      <c r="D10" s="80"/>
      <c r="E10" s="69" t="s">
        <v>115</v>
      </c>
      <c r="F10" s="72">
        <v>39</v>
      </c>
      <c r="G10" s="80"/>
      <c r="H10" s="69" t="s">
        <v>50</v>
      </c>
      <c r="I10" s="70">
        <v>41348.680000000015</v>
      </c>
      <c r="J10" s="80"/>
      <c r="K10" s="77" t="s">
        <v>472</v>
      </c>
      <c r="L10" s="78">
        <v>17039.349999999999</v>
      </c>
    </row>
    <row r="11" spans="2:12" ht="15" thickBot="1" x14ac:dyDescent="0.35">
      <c r="B11" s="65"/>
      <c r="C11" s="80"/>
      <c r="D11" s="80"/>
      <c r="E11" s="69" t="s">
        <v>114</v>
      </c>
      <c r="F11" s="72">
        <v>39</v>
      </c>
      <c r="G11" s="80"/>
      <c r="H11" s="67" t="s">
        <v>465</v>
      </c>
      <c r="I11" s="68">
        <v>256322.50000000006</v>
      </c>
      <c r="J11" s="80"/>
      <c r="K11" s="77" t="s">
        <v>473</v>
      </c>
      <c r="L11" s="78">
        <v>19299.45</v>
      </c>
    </row>
    <row r="12" spans="2:12" x14ac:dyDescent="0.3">
      <c r="B12" s="65"/>
      <c r="C12" s="80"/>
      <c r="D12" s="80"/>
      <c r="E12" s="69" t="s">
        <v>106</v>
      </c>
      <c r="F12" s="72">
        <v>78</v>
      </c>
      <c r="G12" s="80"/>
      <c r="H12" s="80"/>
      <c r="I12" s="80"/>
      <c r="J12" s="80"/>
      <c r="K12" s="77" t="s">
        <v>474</v>
      </c>
      <c r="L12" s="78">
        <v>18479.399999999994</v>
      </c>
    </row>
    <row r="13" spans="2:12" x14ac:dyDescent="0.3">
      <c r="B13" s="65"/>
      <c r="C13" s="80"/>
      <c r="D13" s="80"/>
      <c r="E13" s="69" t="s">
        <v>105</v>
      </c>
      <c r="F13" s="72">
        <v>78</v>
      </c>
      <c r="G13" s="80"/>
      <c r="H13" s="80"/>
      <c r="I13" s="80"/>
      <c r="J13" s="80"/>
      <c r="K13" s="77" t="s">
        <v>475</v>
      </c>
      <c r="L13" s="78">
        <v>15759.429999999997</v>
      </c>
    </row>
    <row r="14" spans="2:12" x14ac:dyDescent="0.3">
      <c r="B14" s="65"/>
      <c r="C14" s="80"/>
      <c r="D14" s="80"/>
      <c r="E14" s="69" t="s">
        <v>53</v>
      </c>
      <c r="F14" s="72">
        <v>47</v>
      </c>
      <c r="G14" s="80"/>
      <c r="H14" s="80"/>
      <c r="I14" s="80"/>
      <c r="J14" s="80"/>
      <c r="K14" s="77" t="s">
        <v>476</v>
      </c>
      <c r="L14" s="78">
        <v>12989.509999999998</v>
      </c>
    </row>
    <row r="15" spans="2:12" x14ac:dyDescent="0.3">
      <c r="B15" s="65"/>
      <c r="C15" s="80"/>
      <c r="D15" s="80"/>
      <c r="E15" s="69" t="s">
        <v>52</v>
      </c>
      <c r="F15" s="72">
        <v>47</v>
      </c>
      <c r="G15" s="80"/>
      <c r="H15" s="80"/>
      <c r="I15" s="80"/>
      <c r="J15" s="80"/>
      <c r="K15" s="77" t="s">
        <v>477</v>
      </c>
      <c r="L15" s="78">
        <v>20609.52</v>
      </c>
    </row>
    <row r="16" spans="2:12" x14ac:dyDescent="0.3">
      <c r="B16" s="65"/>
      <c r="C16" s="80"/>
      <c r="D16" s="80"/>
      <c r="E16" s="69" t="s">
        <v>118</v>
      </c>
      <c r="F16" s="72">
        <v>89</v>
      </c>
      <c r="G16" s="80"/>
      <c r="H16" s="80"/>
      <c r="I16" s="80"/>
      <c r="J16" s="80"/>
      <c r="K16" s="77" t="s">
        <v>478</v>
      </c>
      <c r="L16" s="78">
        <v>12309.439999999999</v>
      </c>
    </row>
    <row r="17" spans="2:12" ht="15" thickBot="1" x14ac:dyDescent="0.35">
      <c r="B17" s="65"/>
      <c r="C17" s="80"/>
      <c r="D17" s="80"/>
      <c r="E17" s="69" t="s">
        <v>117</v>
      </c>
      <c r="F17" s="72">
        <v>89</v>
      </c>
      <c r="G17" s="80"/>
      <c r="H17" s="80"/>
      <c r="I17" s="80"/>
      <c r="J17" s="80"/>
      <c r="K17" s="79" t="s">
        <v>479</v>
      </c>
      <c r="L17" s="78">
        <v>23039.3</v>
      </c>
    </row>
    <row r="18" spans="2:12" ht="15" thickBot="1" x14ac:dyDescent="0.35">
      <c r="B18" s="65"/>
      <c r="C18" s="80"/>
      <c r="D18" s="80"/>
      <c r="E18" s="69" t="s">
        <v>62</v>
      </c>
      <c r="F18" s="72">
        <v>75</v>
      </c>
      <c r="G18" s="80"/>
      <c r="H18" s="80"/>
      <c r="I18" s="80"/>
      <c r="J18" s="80"/>
      <c r="K18" s="75" t="s">
        <v>465</v>
      </c>
      <c r="L18" s="76">
        <v>256322.5</v>
      </c>
    </row>
    <row r="19" spans="2:12" x14ac:dyDescent="0.3">
      <c r="B19" s="65"/>
      <c r="C19" s="80"/>
      <c r="D19" s="80"/>
      <c r="E19" s="69" t="s">
        <v>61</v>
      </c>
      <c r="F19" s="72">
        <v>75</v>
      </c>
      <c r="G19" s="80"/>
      <c r="H19" s="80"/>
      <c r="I19" s="80"/>
      <c r="J19" s="80"/>
      <c r="K19" s="80"/>
      <c r="L19" s="66"/>
    </row>
    <row r="20" spans="2:12" x14ac:dyDescent="0.3">
      <c r="B20" s="65"/>
      <c r="C20" s="80"/>
      <c r="D20" s="80"/>
      <c r="E20" s="69" t="s">
        <v>18</v>
      </c>
      <c r="F20" s="72">
        <v>88</v>
      </c>
      <c r="G20" s="80"/>
      <c r="H20" s="80"/>
      <c r="I20" s="80"/>
      <c r="J20" s="80"/>
      <c r="K20" s="80"/>
      <c r="L20" s="66"/>
    </row>
    <row r="21" spans="2:12" x14ac:dyDescent="0.3">
      <c r="B21" s="65"/>
      <c r="C21" s="80"/>
      <c r="D21" s="80"/>
      <c r="E21" s="69" t="s">
        <v>17</v>
      </c>
      <c r="F21" s="72">
        <v>88</v>
      </c>
      <c r="G21" s="80"/>
      <c r="H21" s="80"/>
      <c r="I21" s="80"/>
      <c r="J21" s="80"/>
      <c r="K21" s="80"/>
      <c r="L21" s="66"/>
    </row>
    <row r="22" spans="2:12" x14ac:dyDescent="0.3">
      <c r="B22" s="65"/>
      <c r="C22" s="80"/>
      <c r="D22" s="80"/>
      <c r="E22" s="69" t="s">
        <v>127</v>
      </c>
      <c r="F22" s="72">
        <v>52</v>
      </c>
      <c r="G22" s="80"/>
      <c r="H22" s="80"/>
      <c r="I22" s="80"/>
      <c r="J22" s="80"/>
      <c r="K22" s="80"/>
      <c r="L22" s="66"/>
    </row>
    <row r="23" spans="2:12" x14ac:dyDescent="0.3">
      <c r="B23" s="65"/>
      <c r="C23" s="80"/>
      <c r="D23" s="80"/>
      <c r="E23" s="69" t="s">
        <v>126</v>
      </c>
      <c r="F23" s="72">
        <v>52</v>
      </c>
      <c r="G23" s="80"/>
      <c r="H23" s="80"/>
      <c r="I23" s="80"/>
      <c r="J23" s="80"/>
      <c r="K23" s="80"/>
      <c r="L23" s="66"/>
    </row>
    <row r="24" spans="2:12" x14ac:dyDescent="0.3">
      <c r="B24" s="65"/>
      <c r="C24" s="80"/>
      <c r="D24" s="80"/>
      <c r="E24" s="69" t="s">
        <v>81</v>
      </c>
      <c r="F24" s="72">
        <v>96</v>
      </c>
      <c r="G24" s="80"/>
      <c r="H24" s="80"/>
      <c r="I24" s="80"/>
      <c r="J24" s="80"/>
      <c r="K24" s="80"/>
      <c r="L24" s="66"/>
    </row>
    <row r="25" spans="2:12" ht="15" thickBot="1" x14ac:dyDescent="0.35">
      <c r="B25" s="65"/>
      <c r="C25" s="80"/>
      <c r="D25" s="80"/>
      <c r="E25" s="69" t="s">
        <v>80</v>
      </c>
      <c r="F25" s="72">
        <v>96</v>
      </c>
      <c r="G25" s="80"/>
      <c r="H25" s="80"/>
      <c r="I25" s="80"/>
      <c r="J25" s="80"/>
      <c r="K25" s="80"/>
      <c r="L25" s="66"/>
    </row>
    <row r="26" spans="2:12" ht="15" thickBot="1" x14ac:dyDescent="0.35">
      <c r="B26" s="65"/>
      <c r="C26" s="80"/>
      <c r="D26" s="80"/>
      <c r="E26" s="73" t="s">
        <v>465</v>
      </c>
      <c r="F26" s="74">
        <v>770.00400080016004</v>
      </c>
      <c r="G26" s="80"/>
      <c r="H26" s="80"/>
      <c r="I26" s="80"/>
      <c r="J26" s="80"/>
      <c r="K26" s="80"/>
      <c r="L26" s="66"/>
    </row>
    <row r="27" spans="2:12" ht="15" thickBot="1" x14ac:dyDescent="0.35">
      <c r="B27" s="84"/>
      <c r="C27" s="82"/>
      <c r="D27" s="82"/>
      <c r="E27" s="82"/>
      <c r="F27" s="82"/>
      <c r="G27" s="82"/>
      <c r="H27" s="82"/>
      <c r="I27" s="82"/>
      <c r="J27" s="82"/>
      <c r="K27" s="82"/>
      <c r="L27" s="83"/>
    </row>
  </sheetData>
  <mergeCells count="5">
    <mergeCell ref="B2:C3"/>
    <mergeCell ref="E2:F3"/>
    <mergeCell ref="H2:I3"/>
    <mergeCell ref="K2:L3"/>
    <mergeCell ref="B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56"/>
  <sheetViews>
    <sheetView showGridLines="0" topLeftCell="B1" zoomScale="66" workbookViewId="0">
      <selection sqref="A1:AD1"/>
    </sheetView>
  </sheetViews>
  <sheetFormatPr defaultRowHeight="14.4" x14ac:dyDescent="0.3"/>
  <cols>
    <col min="2" max="2" width="15.5546875" customWidth="1"/>
    <col min="3" max="3" width="20.21875" customWidth="1"/>
    <col min="12" max="12" width="19.21875" customWidth="1"/>
    <col min="13" max="13" width="23.33203125" customWidth="1"/>
    <col min="14" max="14" width="0.88671875" customWidth="1"/>
    <col min="29" max="29" width="19.21875" customWidth="1"/>
    <col min="30" max="30" width="23.33203125" customWidth="1"/>
  </cols>
  <sheetData>
    <row r="1" spans="1:30" ht="69" customHeight="1" x14ac:dyDescent="0.3">
      <c r="A1" s="168" t="s">
        <v>486</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row>
    <row r="2" spans="1:30" ht="15" thickBot="1" x14ac:dyDescent="0.35">
      <c r="A2" s="85"/>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row>
    <row r="3" spans="1:30" x14ac:dyDescent="0.3">
      <c r="A3" s="85"/>
      <c r="B3" s="162" t="s">
        <v>487</v>
      </c>
      <c r="C3" s="163"/>
      <c r="D3" s="163"/>
      <c r="E3" s="163"/>
      <c r="F3" s="163"/>
      <c r="G3" s="163"/>
      <c r="H3" s="163"/>
      <c r="I3" s="163"/>
      <c r="J3" s="163"/>
      <c r="K3" s="163"/>
      <c r="L3" s="163"/>
      <c r="M3" s="163"/>
      <c r="N3" s="164"/>
      <c r="O3" s="85"/>
      <c r="P3" s="193" t="s">
        <v>483</v>
      </c>
      <c r="Q3" s="194"/>
      <c r="R3" s="194"/>
      <c r="S3" s="194"/>
      <c r="T3" s="194"/>
      <c r="U3" s="194"/>
      <c r="V3" s="194"/>
      <c r="W3" s="194"/>
      <c r="X3" s="194"/>
      <c r="Y3" s="194"/>
      <c r="Z3" s="194"/>
      <c r="AA3" s="194"/>
      <c r="AB3" s="194"/>
      <c r="AC3" s="194"/>
      <c r="AD3" s="195"/>
    </row>
    <row r="4" spans="1:30" ht="15" thickBot="1" x14ac:dyDescent="0.35">
      <c r="A4" s="85"/>
      <c r="B4" s="165"/>
      <c r="C4" s="166"/>
      <c r="D4" s="166"/>
      <c r="E4" s="166"/>
      <c r="F4" s="166"/>
      <c r="G4" s="166"/>
      <c r="H4" s="166"/>
      <c r="I4" s="166"/>
      <c r="J4" s="166"/>
      <c r="K4" s="166"/>
      <c r="L4" s="166"/>
      <c r="M4" s="166"/>
      <c r="N4" s="167"/>
      <c r="O4" s="85"/>
      <c r="P4" s="196"/>
      <c r="Q4" s="197"/>
      <c r="R4" s="197"/>
      <c r="S4" s="197"/>
      <c r="T4" s="197"/>
      <c r="U4" s="197"/>
      <c r="V4" s="197"/>
      <c r="W4" s="197"/>
      <c r="X4" s="197"/>
      <c r="Y4" s="197"/>
      <c r="Z4" s="197"/>
      <c r="AA4" s="197"/>
      <c r="AB4" s="197"/>
      <c r="AC4" s="197"/>
      <c r="AD4" s="198"/>
    </row>
    <row r="5" spans="1:30" ht="15" thickBot="1" x14ac:dyDescent="0.35">
      <c r="A5" s="85"/>
      <c r="B5" s="86"/>
      <c r="C5" s="91"/>
      <c r="D5" s="91"/>
      <c r="E5" s="91"/>
      <c r="F5" s="91"/>
      <c r="G5" s="91"/>
      <c r="H5" s="91"/>
      <c r="I5" s="91"/>
      <c r="J5" s="91"/>
      <c r="K5" s="91"/>
      <c r="L5" s="91"/>
      <c r="M5" s="91"/>
      <c r="N5" s="87"/>
      <c r="O5" s="85"/>
      <c r="P5" s="92"/>
      <c r="Q5" s="93"/>
      <c r="R5" s="93"/>
      <c r="S5" s="93"/>
      <c r="T5" s="93"/>
      <c r="U5" s="93"/>
      <c r="V5" s="93"/>
      <c r="W5" s="93"/>
      <c r="X5" s="93"/>
      <c r="Y5" s="93"/>
      <c r="Z5" s="93"/>
      <c r="AA5" s="93"/>
      <c r="AB5" s="93"/>
      <c r="AC5" s="93"/>
      <c r="AD5" s="94"/>
    </row>
    <row r="6" spans="1:30" ht="14.4" customHeight="1" thickBot="1" x14ac:dyDescent="0.35">
      <c r="A6" s="85"/>
      <c r="B6" s="86"/>
      <c r="C6" s="91"/>
      <c r="D6" s="91"/>
      <c r="E6" s="91"/>
      <c r="F6" s="91"/>
      <c r="G6" s="91"/>
      <c r="H6" s="91"/>
      <c r="I6" s="91"/>
      <c r="J6" s="91"/>
      <c r="K6" s="91"/>
      <c r="L6" s="91"/>
      <c r="M6" s="91"/>
      <c r="N6" s="87"/>
      <c r="O6" s="85"/>
      <c r="P6" s="92"/>
      <c r="Q6" s="93"/>
      <c r="R6" s="93"/>
      <c r="S6" s="93"/>
      <c r="T6" s="93"/>
      <c r="U6" s="93"/>
      <c r="V6" s="93"/>
      <c r="W6" s="93"/>
      <c r="X6" s="93"/>
      <c r="Y6" s="93"/>
      <c r="Z6" s="93"/>
      <c r="AA6" s="93"/>
      <c r="AB6" s="93"/>
      <c r="AC6" s="98" t="s">
        <v>464</v>
      </c>
      <c r="AD6" s="68" t="s">
        <v>466</v>
      </c>
    </row>
    <row r="7" spans="1:30" ht="15" thickBot="1" x14ac:dyDescent="0.35">
      <c r="A7" s="85"/>
      <c r="B7" s="88"/>
      <c r="C7" s="91"/>
      <c r="D7" s="91"/>
      <c r="E7" s="91"/>
      <c r="F7" s="91"/>
      <c r="G7" s="91"/>
      <c r="H7" s="91"/>
      <c r="I7" s="91"/>
      <c r="J7" s="91"/>
      <c r="K7" s="91"/>
      <c r="L7" s="91"/>
      <c r="M7" s="91"/>
      <c r="N7" s="87"/>
      <c r="O7" s="85"/>
      <c r="P7" s="92"/>
      <c r="Q7" s="93"/>
      <c r="R7" s="93"/>
      <c r="S7" s="93"/>
      <c r="T7" s="93"/>
      <c r="U7" s="93"/>
      <c r="V7" s="93"/>
      <c r="W7" s="93"/>
      <c r="X7" s="93"/>
      <c r="Y7" s="93"/>
      <c r="Z7" s="93"/>
      <c r="AA7" s="93"/>
      <c r="AB7" s="93"/>
      <c r="AC7" s="69" t="s">
        <v>21</v>
      </c>
      <c r="AD7" s="70">
        <v>56438.340000000011</v>
      </c>
    </row>
    <row r="8" spans="1:30" ht="15" thickBot="1" x14ac:dyDescent="0.35">
      <c r="A8" s="85"/>
      <c r="B8" s="75" t="s">
        <v>464</v>
      </c>
      <c r="C8" s="76" t="s">
        <v>466</v>
      </c>
      <c r="D8" s="91"/>
      <c r="E8" s="91"/>
      <c r="F8" s="91"/>
      <c r="G8" s="91"/>
      <c r="H8" s="91"/>
      <c r="I8" s="91"/>
      <c r="J8" s="91"/>
      <c r="K8" s="91"/>
      <c r="L8" s="91"/>
      <c r="M8" s="91"/>
      <c r="N8" s="87"/>
      <c r="O8" s="85"/>
      <c r="P8" s="92"/>
      <c r="Q8" s="93"/>
      <c r="R8" s="93"/>
      <c r="S8" s="93"/>
      <c r="T8" s="93"/>
      <c r="U8" s="93"/>
      <c r="V8" s="93"/>
      <c r="W8" s="93"/>
      <c r="X8" s="93"/>
      <c r="Y8" s="93"/>
      <c r="Z8" s="93"/>
      <c r="AA8" s="93"/>
      <c r="AB8" s="93"/>
      <c r="AC8" s="69" t="s">
        <v>63</v>
      </c>
      <c r="AD8" s="70">
        <v>59288.389999999992</v>
      </c>
    </row>
    <row r="9" spans="1:30" x14ac:dyDescent="0.3">
      <c r="A9" s="85"/>
      <c r="B9" s="77" t="s">
        <v>468</v>
      </c>
      <c r="C9" s="78">
        <v>25799.15</v>
      </c>
      <c r="D9" s="91"/>
      <c r="E9" s="91"/>
      <c r="F9" s="91"/>
      <c r="G9" s="91"/>
      <c r="H9" s="91"/>
      <c r="I9" s="91"/>
      <c r="J9" s="91"/>
      <c r="K9" s="91"/>
      <c r="L9" s="91"/>
      <c r="M9" s="91"/>
      <c r="N9" s="87"/>
      <c r="O9" s="85"/>
      <c r="P9" s="92"/>
      <c r="Q9" s="93"/>
      <c r="R9" s="93"/>
      <c r="S9" s="93"/>
      <c r="T9" s="93"/>
      <c r="U9" s="93"/>
      <c r="V9" s="93"/>
      <c r="W9" s="93"/>
      <c r="X9" s="93"/>
      <c r="Y9" s="93"/>
      <c r="Z9" s="93"/>
      <c r="AA9" s="93"/>
      <c r="AB9" s="93"/>
      <c r="AC9" s="69" t="s">
        <v>40</v>
      </c>
      <c r="AD9" s="70">
        <v>53508.310000000012</v>
      </c>
    </row>
    <row r="10" spans="1:30" x14ac:dyDescent="0.3">
      <c r="A10" s="85"/>
      <c r="B10" s="77" t="s">
        <v>469</v>
      </c>
      <c r="C10" s="78">
        <v>16069.380000000001</v>
      </c>
      <c r="D10" s="91"/>
      <c r="E10" s="91"/>
      <c r="F10" s="91"/>
      <c r="G10" s="91"/>
      <c r="H10" s="91"/>
      <c r="I10" s="91"/>
      <c r="J10" s="91"/>
      <c r="K10" s="91"/>
      <c r="L10" s="91"/>
      <c r="M10" s="91"/>
      <c r="N10" s="87"/>
      <c r="O10" s="85"/>
      <c r="P10" s="92"/>
      <c r="Q10" s="93"/>
      <c r="R10" s="93"/>
      <c r="S10" s="93"/>
      <c r="T10" s="93"/>
      <c r="U10" s="93"/>
      <c r="V10" s="93"/>
      <c r="W10" s="93"/>
      <c r="X10" s="93"/>
      <c r="Y10" s="93"/>
      <c r="Z10" s="93"/>
      <c r="AA10" s="93"/>
      <c r="AB10" s="93"/>
      <c r="AC10" s="69" t="s">
        <v>35</v>
      </c>
      <c r="AD10" s="70">
        <v>45738.780000000006</v>
      </c>
    </row>
    <row r="11" spans="1:30" ht="15" thickBot="1" x14ac:dyDescent="0.35">
      <c r="A11" s="85"/>
      <c r="B11" s="77" t="s">
        <v>470</v>
      </c>
      <c r="C11" s="78">
        <v>19899.379999999997</v>
      </c>
      <c r="D11" s="91"/>
      <c r="E11" s="91"/>
      <c r="F11" s="91"/>
      <c r="G11" s="91"/>
      <c r="H11" s="91"/>
      <c r="I11" s="91"/>
      <c r="J11" s="91"/>
      <c r="K11" s="91"/>
      <c r="L11" s="91"/>
      <c r="M11" s="91"/>
      <c r="N11" s="87"/>
      <c r="O11" s="85"/>
      <c r="P11" s="92"/>
      <c r="Q11" s="93"/>
      <c r="R11" s="93"/>
      <c r="S11" s="93"/>
      <c r="T11" s="93"/>
      <c r="U11" s="93"/>
      <c r="V11" s="93"/>
      <c r="W11" s="93"/>
      <c r="X11" s="93"/>
      <c r="Y11" s="93"/>
      <c r="Z11" s="93"/>
      <c r="AA11" s="93"/>
      <c r="AB11" s="93"/>
      <c r="AC11" s="69" t="s">
        <v>50</v>
      </c>
      <c r="AD11" s="70">
        <v>41348.680000000015</v>
      </c>
    </row>
    <row r="12" spans="1:30" ht="15" thickBot="1" x14ac:dyDescent="0.35">
      <c r="A12" s="85"/>
      <c r="B12" s="77" t="s">
        <v>471</v>
      </c>
      <c r="C12" s="78">
        <v>55029.19</v>
      </c>
      <c r="D12" s="91"/>
      <c r="E12" s="91"/>
      <c r="F12" s="91"/>
      <c r="G12" s="91"/>
      <c r="H12" s="91"/>
      <c r="I12" s="91"/>
      <c r="J12" s="91"/>
      <c r="K12" s="91"/>
      <c r="L12" s="91"/>
      <c r="M12" s="91"/>
      <c r="N12" s="87"/>
      <c r="O12" s="85"/>
      <c r="P12" s="92"/>
      <c r="Q12" s="93"/>
      <c r="R12" s="93"/>
      <c r="S12" s="93"/>
      <c r="T12" s="93"/>
      <c r="U12" s="93"/>
      <c r="V12" s="93"/>
      <c r="W12" s="93"/>
      <c r="X12" s="93"/>
      <c r="Y12" s="93"/>
      <c r="Z12" s="93"/>
      <c r="AA12" s="93"/>
      <c r="AB12" s="93"/>
      <c r="AC12" s="67" t="s">
        <v>465</v>
      </c>
      <c r="AD12" s="68">
        <v>256322.50000000006</v>
      </c>
    </row>
    <row r="13" spans="1:30" x14ac:dyDescent="0.3">
      <c r="A13" s="85"/>
      <c r="B13" s="77" t="s">
        <v>472</v>
      </c>
      <c r="C13" s="78">
        <v>17039.349999999999</v>
      </c>
      <c r="D13" s="91"/>
      <c r="E13" s="91"/>
      <c r="F13" s="91"/>
      <c r="G13" s="91"/>
      <c r="H13" s="91"/>
      <c r="I13" s="91"/>
      <c r="J13" s="91"/>
      <c r="K13" s="91"/>
      <c r="L13" s="91"/>
      <c r="M13" s="91"/>
      <c r="N13" s="87"/>
      <c r="O13" s="85"/>
      <c r="P13" s="92"/>
      <c r="Q13" s="93"/>
      <c r="R13" s="93"/>
      <c r="S13" s="93"/>
      <c r="T13" s="93"/>
      <c r="U13" s="93"/>
      <c r="V13" s="93"/>
      <c r="W13" s="93"/>
      <c r="X13" s="93"/>
      <c r="Y13" s="93"/>
      <c r="Z13" s="93"/>
      <c r="AA13" s="93"/>
      <c r="AB13" s="93"/>
      <c r="AC13" s="93"/>
      <c r="AD13" s="94"/>
    </row>
    <row r="14" spans="1:30" x14ac:dyDescent="0.3">
      <c r="A14" s="85"/>
      <c r="B14" s="77" t="s">
        <v>473</v>
      </c>
      <c r="C14" s="78">
        <v>19299.45</v>
      </c>
      <c r="D14" s="91"/>
      <c r="E14" s="91"/>
      <c r="F14" s="91"/>
      <c r="G14" s="91"/>
      <c r="H14" s="91"/>
      <c r="I14" s="91"/>
      <c r="J14" s="91"/>
      <c r="K14" s="91"/>
      <c r="L14" s="91"/>
      <c r="M14" s="91"/>
      <c r="N14" s="87"/>
      <c r="O14" s="85"/>
      <c r="P14" s="92"/>
      <c r="Q14" s="93"/>
      <c r="R14" s="93"/>
      <c r="S14" s="93"/>
      <c r="T14" s="93"/>
      <c r="U14" s="93"/>
      <c r="V14" s="93"/>
      <c r="W14" s="93"/>
      <c r="X14" s="93"/>
      <c r="Y14" s="93"/>
      <c r="Z14" s="93"/>
      <c r="AA14" s="93"/>
      <c r="AB14" s="93"/>
      <c r="AC14" s="93"/>
      <c r="AD14" s="94"/>
    </row>
    <row r="15" spans="1:30" x14ac:dyDescent="0.3">
      <c r="A15" s="85"/>
      <c r="B15" s="77" t="s">
        <v>474</v>
      </c>
      <c r="C15" s="78">
        <v>18479.399999999994</v>
      </c>
      <c r="D15" s="91"/>
      <c r="E15" s="91"/>
      <c r="F15" s="91"/>
      <c r="G15" s="91"/>
      <c r="H15" s="91"/>
      <c r="I15" s="91"/>
      <c r="J15" s="91"/>
      <c r="K15" s="91"/>
      <c r="L15" s="91"/>
      <c r="M15" s="91"/>
      <c r="N15" s="87"/>
      <c r="O15" s="85"/>
      <c r="P15" s="92"/>
      <c r="Q15" s="93"/>
      <c r="R15" s="93"/>
      <c r="S15" s="93"/>
      <c r="T15" s="93"/>
      <c r="U15" s="93"/>
      <c r="V15" s="93"/>
      <c r="W15" s="93"/>
      <c r="X15" s="93"/>
      <c r="Y15" s="93"/>
      <c r="Z15" s="93"/>
      <c r="AA15" s="93"/>
      <c r="AB15" s="93"/>
      <c r="AC15" s="93"/>
      <c r="AD15" s="94"/>
    </row>
    <row r="16" spans="1:30" x14ac:dyDescent="0.3">
      <c r="A16" s="85"/>
      <c r="B16" s="77" t="s">
        <v>475</v>
      </c>
      <c r="C16" s="78">
        <v>15759.429999999997</v>
      </c>
      <c r="D16" s="91"/>
      <c r="E16" s="91"/>
      <c r="F16" s="91"/>
      <c r="G16" s="91"/>
      <c r="H16" s="91"/>
      <c r="I16" s="91"/>
      <c r="J16" s="91"/>
      <c r="K16" s="91"/>
      <c r="L16" s="91"/>
      <c r="M16" s="91"/>
      <c r="N16" s="87"/>
      <c r="O16" s="85"/>
      <c r="P16" s="92"/>
      <c r="Q16" s="93"/>
      <c r="R16" s="93"/>
      <c r="S16" s="93"/>
      <c r="T16" s="93"/>
      <c r="U16" s="93"/>
      <c r="V16" s="93"/>
      <c r="W16" s="93"/>
      <c r="X16" s="93"/>
      <c r="Y16" s="93"/>
      <c r="Z16" s="93"/>
      <c r="AA16" s="93"/>
      <c r="AB16" s="93"/>
      <c r="AC16" s="93"/>
      <c r="AD16" s="94"/>
    </row>
    <row r="17" spans="1:30" x14ac:dyDescent="0.3">
      <c r="A17" s="85"/>
      <c r="B17" s="77" t="s">
        <v>476</v>
      </c>
      <c r="C17" s="78">
        <v>12989.509999999998</v>
      </c>
      <c r="D17" s="91"/>
      <c r="E17" s="91"/>
      <c r="F17" s="91"/>
      <c r="G17" s="91"/>
      <c r="H17" s="91"/>
      <c r="I17" s="91"/>
      <c r="J17" s="91"/>
      <c r="K17" s="91"/>
      <c r="L17" s="91"/>
      <c r="M17" s="91"/>
      <c r="N17" s="87"/>
      <c r="O17" s="85"/>
      <c r="P17" s="92"/>
      <c r="Q17" s="93"/>
      <c r="R17" s="93"/>
      <c r="S17" s="93"/>
      <c r="T17" s="93"/>
      <c r="U17" s="93"/>
      <c r="V17" s="93"/>
      <c r="W17" s="93"/>
      <c r="X17" s="93"/>
      <c r="Y17" s="93"/>
      <c r="Z17" s="93"/>
      <c r="AA17" s="93"/>
      <c r="AB17" s="93"/>
      <c r="AC17" s="93"/>
      <c r="AD17" s="94"/>
    </row>
    <row r="18" spans="1:30" x14ac:dyDescent="0.3">
      <c r="A18" s="85"/>
      <c r="B18" s="77" t="s">
        <v>477</v>
      </c>
      <c r="C18" s="78">
        <v>20609.52</v>
      </c>
      <c r="D18" s="91"/>
      <c r="E18" s="91"/>
      <c r="F18" s="91"/>
      <c r="G18" s="91"/>
      <c r="H18" s="91"/>
      <c r="I18" s="91"/>
      <c r="J18" s="91"/>
      <c r="K18" s="91"/>
      <c r="L18" s="91"/>
      <c r="M18" s="91"/>
      <c r="N18" s="87"/>
      <c r="O18" s="85"/>
      <c r="P18" s="92"/>
      <c r="Q18" s="93"/>
      <c r="R18" s="93"/>
      <c r="S18" s="93"/>
      <c r="T18" s="93"/>
      <c r="U18" s="93"/>
      <c r="V18" s="93"/>
      <c r="W18" s="93"/>
      <c r="X18" s="93"/>
      <c r="Y18" s="93"/>
      <c r="Z18" s="93"/>
      <c r="AA18" s="93"/>
      <c r="AB18" s="93"/>
      <c r="AC18" s="93"/>
      <c r="AD18" s="94"/>
    </row>
    <row r="19" spans="1:30" ht="14.4" customHeight="1" x14ac:dyDescent="0.3">
      <c r="A19" s="85"/>
      <c r="B19" s="77" t="s">
        <v>478</v>
      </c>
      <c r="C19" s="78">
        <v>12309.439999999999</v>
      </c>
      <c r="D19" s="91"/>
      <c r="E19" s="91"/>
      <c r="F19" s="91"/>
      <c r="G19" s="91"/>
      <c r="H19" s="91"/>
      <c r="I19" s="91"/>
      <c r="J19" s="91"/>
      <c r="K19" s="91"/>
      <c r="L19" s="91"/>
      <c r="M19" s="91"/>
      <c r="N19" s="87"/>
      <c r="O19" s="85"/>
      <c r="P19" s="92"/>
      <c r="Q19" s="93"/>
      <c r="R19" s="93"/>
      <c r="S19" s="93"/>
      <c r="T19" s="93"/>
      <c r="U19" s="93"/>
      <c r="V19" s="93"/>
      <c r="W19" s="93"/>
      <c r="X19" s="93"/>
      <c r="Y19" s="93"/>
      <c r="Z19" s="93"/>
      <c r="AA19" s="93"/>
      <c r="AB19" s="93"/>
      <c r="AC19" s="93"/>
      <c r="AD19" s="94"/>
    </row>
    <row r="20" spans="1:30" ht="15" thickBot="1" x14ac:dyDescent="0.35">
      <c r="A20" s="85"/>
      <c r="B20" s="79" t="s">
        <v>479</v>
      </c>
      <c r="C20" s="78">
        <v>23039.3</v>
      </c>
      <c r="D20" s="91"/>
      <c r="E20" s="91"/>
      <c r="F20" s="91"/>
      <c r="G20" s="91"/>
      <c r="H20" s="91"/>
      <c r="I20" s="91"/>
      <c r="J20" s="91"/>
      <c r="K20" s="91"/>
      <c r="L20" s="91"/>
      <c r="M20" s="91"/>
      <c r="N20" s="87"/>
      <c r="O20" s="85"/>
      <c r="P20" s="92"/>
      <c r="Q20" s="93"/>
      <c r="R20" s="93"/>
      <c r="S20" s="93"/>
      <c r="T20" s="93"/>
      <c r="U20" s="93"/>
      <c r="V20" s="93"/>
      <c r="W20" s="93"/>
      <c r="X20" s="93"/>
      <c r="Y20" s="93"/>
      <c r="Z20" s="93"/>
      <c r="AA20" s="93"/>
      <c r="AB20" s="93"/>
      <c r="AC20" s="93"/>
      <c r="AD20" s="94"/>
    </row>
    <row r="21" spans="1:30" ht="15" thickBot="1" x14ac:dyDescent="0.35">
      <c r="A21" s="85"/>
      <c r="B21" s="75" t="s">
        <v>465</v>
      </c>
      <c r="C21" s="76">
        <v>256322.5</v>
      </c>
      <c r="D21" s="91"/>
      <c r="E21" s="91"/>
      <c r="F21" s="91"/>
      <c r="G21" s="91"/>
      <c r="H21" s="91"/>
      <c r="I21" s="91"/>
      <c r="J21" s="91"/>
      <c r="K21" s="91"/>
      <c r="L21" s="91"/>
      <c r="M21" s="91"/>
      <c r="N21" s="87"/>
      <c r="O21" s="85"/>
      <c r="P21" s="92"/>
      <c r="Q21" s="93"/>
      <c r="R21" s="93"/>
      <c r="S21" s="93"/>
      <c r="T21" s="93"/>
      <c r="U21" s="93"/>
      <c r="V21" s="93"/>
      <c r="W21" s="93"/>
      <c r="X21" s="93"/>
      <c r="Y21" s="93"/>
      <c r="Z21" s="93"/>
      <c r="AA21" s="93"/>
      <c r="AB21" s="93"/>
      <c r="AC21" s="93"/>
      <c r="AD21" s="94"/>
    </row>
    <row r="22" spans="1:30" x14ac:dyDescent="0.3">
      <c r="A22" s="85"/>
      <c r="B22" s="86"/>
      <c r="C22" s="91"/>
      <c r="D22" s="91"/>
      <c r="E22" s="91"/>
      <c r="F22" s="91"/>
      <c r="G22" s="91"/>
      <c r="H22" s="91"/>
      <c r="I22" s="91"/>
      <c r="J22" s="91"/>
      <c r="K22" s="91"/>
      <c r="L22" s="91"/>
      <c r="M22" s="91"/>
      <c r="N22" s="87"/>
      <c r="O22" s="85"/>
      <c r="P22" s="92"/>
      <c r="Q22" s="93"/>
      <c r="R22" s="93"/>
      <c r="S22" s="93"/>
      <c r="T22" s="93"/>
      <c r="U22" s="93"/>
      <c r="V22" s="93"/>
      <c r="W22" s="93"/>
      <c r="X22" s="93"/>
      <c r="Y22" s="93"/>
      <c r="Z22" s="93"/>
      <c r="AA22" s="93"/>
      <c r="AB22" s="93"/>
      <c r="AC22" s="93"/>
      <c r="AD22" s="94"/>
    </row>
    <row r="23" spans="1:30" x14ac:dyDescent="0.3">
      <c r="A23" s="85"/>
      <c r="B23" s="86"/>
      <c r="C23" s="91"/>
      <c r="D23" s="91"/>
      <c r="E23" s="91"/>
      <c r="F23" s="91"/>
      <c r="G23" s="91"/>
      <c r="H23" s="91"/>
      <c r="I23" s="91"/>
      <c r="J23" s="91"/>
      <c r="K23" s="91"/>
      <c r="L23" s="91"/>
      <c r="M23" s="91"/>
      <c r="N23" s="87"/>
      <c r="O23" s="85"/>
      <c r="P23" s="92"/>
      <c r="Q23" s="93"/>
      <c r="R23" s="93"/>
      <c r="S23" s="93"/>
      <c r="T23" s="93"/>
      <c r="U23" s="93"/>
      <c r="V23" s="93"/>
      <c r="W23" s="93"/>
      <c r="X23" s="93"/>
      <c r="Y23" s="93"/>
      <c r="Z23" s="93"/>
      <c r="AA23" s="93"/>
      <c r="AB23" s="93"/>
      <c r="AC23" s="93"/>
      <c r="AD23" s="94"/>
    </row>
    <row r="24" spans="1:30" ht="15" thickBot="1" x14ac:dyDescent="0.35">
      <c r="A24" s="85"/>
      <c r="B24" s="88"/>
      <c r="C24" s="89"/>
      <c r="D24" s="89"/>
      <c r="E24" s="89"/>
      <c r="F24" s="89"/>
      <c r="G24" s="89"/>
      <c r="H24" s="89"/>
      <c r="I24" s="89"/>
      <c r="J24" s="89"/>
      <c r="K24" s="89"/>
      <c r="L24" s="89"/>
      <c r="M24" s="89"/>
      <c r="N24" s="90"/>
      <c r="O24" s="85"/>
      <c r="P24" s="95"/>
      <c r="Q24" s="96"/>
      <c r="R24" s="96"/>
      <c r="S24" s="96"/>
      <c r="T24" s="96"/>
      <c r="U24" s="96"/>
      <c r="V24" s="96"/>
      <c r="W24" s="96"/>
      <c r="X24" s="96"/>
      <c r="Y24" s="96"/>
      <c r="Z24" s="96"/>
      <c r="AA24" s="96"/>
      <c r="AB24" s="96"/>
      <c r="AC24" s="96"/>
      <c r="AD24" s="97"/>
    </row>
    <row r="25" spans="1:30" x14ac:dyDescent="0.3">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c r="AA25" s="85"/>
      <c r="AB25" s="85"/>
      <c r="AC25" s="85"/>
      <c r="AD25" s="85"/>
    </row>
    <row r="26" spans="1:30" ht="15" thickBot="1" x14ac:dyDescent="0.35">
      <c r="A26" s="85"/>
      <c r="B26" s="85"/>
      <c r="C26" s="85"/>
      <c r="D26" s="85"/>
      <c r="E26" s="85"/>
      <c r="F26" s="85"/>
      <c r="G26" s="85"/>
      <c r="H26" s="85"/>
      <c r="I26" s="85"/>
      <c r="J26" s="85"/>
      <c r="K26" s="85"/>
      <c r="L26" s="85"/>
      <c r="M26" s="85"/>
      <c r="N26" s="85"/>
      <c r="O26" s="85"/>
      <c r="P26" s="85"/>
      <c r="Q26" s="85"/>
      <c r="R26" s="85"/>
      <c r="S26" s="85"/>
      <c r="T26" s="85"/>
      <c r="U26" s="85"/>
      <c r="V26" s="85"/>
      <c r="W26" s="85"/>
      <c r="X26" s="85"/>
      <c r="Y26" s="85"/>
      <c r="Z26" s="85"/>
      <c r="AA26" s="85"/>
      <c r="AB26" s="85"/>
      <c r="AC26" s="85"/>
      <c r="AD26" s="85"/>
    </row>
    <row r="27" spans="1:30" x14ac:dyDescent="0.3">
      <c r="A27" s="85"/>
      <c r="B27" s="187" t="s">
        <v>481</v>
      </c>
      <c r="C27" s="188"/>
      <c r="D27" s="188"/>
      <c r="E27" s="188"/>
      <c r="F27" s="188"/>
      <c r="G27" s="188"/>
      <c r="H27" s="188"/>
      <c r="I27" s="188"/>
      <c r="J27" s="188"/>
      <c r="K27" s="188"/>
      <c r="L27" s="188"/>
      <c r="M27" s="188"/>
      <c r="N27" s="189"/>
      <c r="O27" s="85"/>
      <c r="P27" s="199" t="s">
        <v>482</v>
      </c>
      <c r="Q27" s="200"/>
      <c r="R27" s="200"/>
      <c r="S27" s="200"/>
      <c r="T27" s="200"/>
      <c r="U27" s="200"/>
      <c r="V27" s="200"/>
      <c r="W27" s="200"/>
      <c r="X27" s="200"/>
      <c r="Y27" s="200"/>
      <c r="Z27" s="200"/>
      <c r="AA27" s="200"/>
      <c r="AB27" s="200"/>
      <c r="AC27" s="200"/>
      <c r="AD27" s="201"/>
    </row>
    <row r="28" spans="1:30" ht="15" thickBot="1" x14ac:dyDescent="0.35">
      <c r="A28" s="85"/>
      <c r="B28" s="190"/>
      <c r="C28" s="191"/>
      <c r="D28" s="191"/>
      <c r="E28" s="191"/>
      <c r="F28" s="191"/>
      <c r="G28" s="191"/>
      <c r="H28" s="191"/>
      <c r="I28" s="191"/>
      <c r="J28" s="191"/>
      <c r="K28" s="191"/>
      <c r="L28" s="191"/>
      <c r="M28" s="191"/>
      <c r="N28" s="192"/>
      <c r="O28" s="85"/>
      <c r="P28" s="202"/>
      <c r="Q28" s="203"/>
      <c r="R28" s="203"/>
      <c r="S28" s="203"/>
      <c r="T28" s="203"/>
      <c r="U28" s="203"/>
      <c r="V28" s="203"/>
      <c r="W28" s="203"/>
      <c r="X28" s="203"/>
      <c r="Y28" s="203"/>
      <c r="Z28" s="203"/>
      <c r="AA28" s="203"/>
      <c r="AB28" s="203"/>
      <c r="AC28" s="203"/>
      <c r="AD28" s="204"/>
    </row>
    <row r="29" spans="1:30" ht="15" thickBot="1" x14ac:dyDescent="0.35">
      <c r="A29" s="85"/>
      <c r="B29" s="170"/>
      <c r="C29" s="171"/>
      <c r="D29" s="171"/>
      <c r="E29" s="171"/>
      <c r="F29" s="171"/>
      <c r="G29" s="171"/>
      <c r="H29" s="171"/>
      <c r="I29" s="171"/>
      <c r="J29" s="171"/>
      <c r="K29" s="171"/>
      <c r="L29" s="171"/>
      <c r="M29" s="171"/>
      <c r="N29" s="172"/>
      <c r="O29" s="85"/>
      <c r="P29" s="179"/>
      <c r="Q29" s="180"/>
      <c r="R29" s="180"/>
      <c r="S29" s="180"/>
      <c r="T29" s="180"/>
      <c r="U29" s="180"/>
      <c r="V29" s="180"/>
      <c r="W29" s="180"/>
      <c r="X29" s="180"/>
      <c r="Y29" s="180"/>
      <c r="Z29" s="180"/>
      <c r="AA29" s="180"/>
      <c r="AB29" s="180"/>
      <c r="AC29" s="180"/>
      <c r="AD29" s="181"/>
    </row>
    <row r="30" spans="1:30" ht="15" thickBot="1" x14ac:dyDescent="0.35">
      <c r="A30" s="85"/>
      <c r="B30" s="173"/>
      <c r="C30" s="174"/>
      <c r="D30" s="174"/>
      <c r="E30" s="174"/>
      <c r="F30" s="174"/>
      <c r="G30" s="174"/>
      <c r="H30" s="174"/>
      <c r="I30" s="174"/>
      <c r="J30" s="174"/>
      <c r="K30" s="174"/>
      <c r="L30" s="67" t="s">
        <v>464</v>
      </c>
      <c r="M30" s="68" t="s">
        <v>466</v>
      </c>
      <c r="N30" s="175"/>
      <c r="O30" s="85"/>
      <c r="P30" s="182"/>
      <c r="Q30" s="183"/>
      <c r="R30" s="183"/>
      <c r="S30" s="183"/>
      <c r="T30" s="183"/>
      <c r="U30" s="183"/>
      <c r="V30" s="183"/>
      <c r="W30" s="183"/>
      <c r="X30" s="183"/>
      <c r="Y30" s="183"/>
      <c r="Z30" s="183"/>
      <c r="AA30" s="183"/>
      <c r="AB30" s="183"/>
      <c r="AC30" s="98" t="s">
        <v>464</v>
      </c>
      <c r="AD30" s="71" t="s">
        <v>467</v>
      </c>
    </row>
    <row r="31" spans="1:30" x14ac:dyDescent="0.3">
      <c r="A31" s="85"/>
      <c r="B31" s="173"/>
      <c r="C31" s="174"/>
      <c r="D31" s="174"/>
      <c r="E31" s="174"/>
      <c r="F31" s="174"/>
      <c r="G31" s="174"/>
      <c r="H31" s="174"/>
      <c r="I31" s="174"/>
      <c r="J31" s="174"/>
      <c r="K31" s="174"/>
      <c r="L31" s="69" t="s">
        <v>20</v>
      </c>
      <c r="M31" s="70">
        <v>65317.790000000037</v>
      </c>
      <c r="N31" s="175"/>
      <c r="O31" s="85"/>
      <c r="P31" s="182"/>
      <c r="Q31" s="183"/>
      <c r="R31" s="183"/>
      <c r="S31" s="183"/>
      <c r="T31" s="183"/>
      <c r="U31" s="183"/>
      <c r="V31" s="183"/>
      <c r="W31" s="183"/>
      <c r="X31" s="183"/>
      <c r="Y31" s="183"/>
      <c r="Z31" s="183"/>
      <c r="AA31" s="183"/>
      <c r="AB31" s="183"/>
      <c r="AC31" s="69" t="s">
        <v>32</v>
      </c>
      <c r="AD31" s="72">
        <v>104.00400080016003</v>
      </c>
    </row>
    <row r="32" spans="1:30" x14ac:dyDescent="0.3">
      <c r="A32" s="85"/>
      <c r="B32" s="173"/>
      <c r="C32" s="174"/>
      <c r="D32" s="174"/>
      <c r="E32" s="174"/>
      <c r="F32" s="174"/>
      <c r="G32" s="174"/>
      <c r="H32" s="174"/>
      <c r="I32" s="174"/>
      <c r="J32" s="174"/>
      <c r="K32" s="174"/>
      <c r="L32" s="69" t="s">
        <v>26</v>
      </c>
      <c r="M32" s="70">
        <v>71347.960000000021</v>
      </c>
      <c r="N32" s="175"/>
      <c r="O32" s="85"/>
      <c r="P32" s="182"/>
      <c r="Q32" s="183"/>
      <c r="R32" s="183"/>
      <c r="S32" s="183"/>
      <c r="T32" s="183"/>
      <c r="U32" s="183"/>
      <c r="V32" s="183"/>
      <c r="W32" s="183"/>
      <c r="X32" s="183"/>
      <c r="Y32" s="183"/>
      <c r="Z32" s="183"/>
      <c r="AA32" s="183"/>
      <c r="AB32" s="183"/>
      <c r="AC32" s="69" t="s">
        <v>31</v>
      </c>
      <c r="AD32" s="72">
        <v>104.00400080016003</v>
      </c>
    </row>
    <row r="33" spans="1:30" x14ac:dyDescent="0.3">
      <c r="A33" s="85"/>
      <c r="B33" s="173"/>
      <c r="C33" s="174"/>
      <c r="D33" s="174"/>
      <c r="E33" s="174"/>
      <c r="F33" s="174"/>
      <c r="G33" s="174"/>
      <c r="H33" s="174"/>
      <c r="I33" s="174"/>
      <c r="J33" s="174"/>
      <c r="K33" s="174"/>
      <c r="L33" s="69" t="s">
        <v>57</v>
      </c>
      <c r="M33" s="70">
        <v>52938.340000000004</v>
      </c>
      <c r="N33" s="175"/>
      <c r="O33" s="85"/>
      <c r="P33" s="182"/>
      <c r="Q33" s="183"/>
      <c r="R33" s="183"/>
      <c r="S33" s="183"/>
      <c r="T33" s="183"/>
      <c r="U33" s="183"/>
      <c r="V33" s="183"/>
      <c r="W33" s="183"/>
      <c r="X33" s="183"/>
      <c r="Y33" s="183"/>
      <c r="Z33" s="183"/>
      <c r="AA33" s="183"/>
      <c r="AB33" s="183"/>
      <c r="AC33" s="69" t="s">
        <v>45</v>
      </c>
      <c r="AD33" s="72">
        <v>102</v>
      </c>
    </row>
    <row r="34" spans="1:30" ht="15" thickBot="1" x14ac:dyDescent="0.35">
      <c r="A34" s="85"/>
      <c r="B34" s="173"/>
      <c r="C34" s="174"/>
      <c r="D34" s="174"/>
      <c r="E34" s="174"/>
      <c r="F34" s="174"/>
      <c r="G34" s="174"/>
      <c r="H34" s="174"/>
      <c r="I34" s="174"/>
      <c r="J34" s="174"/>
      <c r="K34" s="174"/>
      <c r="L34" s="69" t="s">
        <v>34</v>
      </c>
      <c r="M34" s="70">
        <v>66718.41</v>
      </c>
      <c r="N34" s="175"/>
      <c r="O34" s="85"/>
      <c r="P34" s="182"/>
      <c r="Q34" s="183"/>
      <c r="R34" s="183"/>
      <c r="S34" s="183"/>
      <c r="T34" s="183"/>
      <c r="U34" s="183"/>
      <c r="V34" s="183"/>
      <c r="W34" s="183"/>
      <c r="X34" s="183"/>
      <c r="Y34" s="183"/>
      <c r="Z34" s="183"/>
      <c r="AA34" s="183"/>
      <c r="AB34" s="183"/>
      <c r="AC34" s="69" t="s">
        <v>44</v>
      </c>
      <c r="AD34" s="72">
        <v>102</v>
      </c>
    </row>
    <row r="35" spans="1:30" ht="15" thickBot="1" x14ac:dyDescent="0.35">
      <c r="A35" s="85"/>
      <c r="B35" s="173"/>
      <c r="C35" s="174"/>
      <c r="D35" s="174"/>
      <c r="E35" s="174"/>
      <c r="F35" s="174"/>
      <c r="G35" s="174"/>
      <c r="H35" s="174"/>
      <c r="I35" s="174"/>
      <c r="J35" s="174"/>
      <c r="K35" s="174"/>
      <c r="L35" s="67" t="s">
        <v>465</v>
      </c>
      <c r="M35" s="68">
        <v>256322.50000000006</v>
      </c>
      <c r="N35" s="175"/>
      <c r="O35" s="85"/>
      <c r="P35" s="182"/>
      <c r="Q35" s="183"/>
      <c r="R35" s="183"/>
      <c r="S35" s="183"/>
      <c r="T35" s="183"/>
      <c r="U35" s="183"/>
      <c r="V35" s="183"/>
      <c r="W35" s="183"/>
      <c r="X35" s="183"/>
      <c r="Y35" s="183"/>
      <c r="Z35" s="183"/>
      <c r="AA35" s="183"/>
      <c r="AB35" s="183"/>
      <c r="AC35" s="69" t="s">
        <v>115</v>
      </c>
      <c r="AD35" s="72">
        <v>39</v>
      </c>
    </row>
    <row r="36" spans="1:30" x14ac:dyDescent="0.3">
      <c r="A36" s="85"/>
      <c r="B36" s="173"/>
      <c r="C36" s="174"/>
      <c r="D36" s="174"/>
      <c r="E36" s="174"/>
      <c r="F36" s="174"/>
      <c r="G36" s="174"/>
      <c r="H36" s="174"/>
      <c r="I36" s="174"/>
      <c r="J36" s="174"/>
      <c r="K36" s="174"/>
      <c r="L36" s="174"/>
      <c r="M36" s="174"/>
      <c r="N36" s="175"/>
      <c r="O36" s="85"/>
      <c r="P36" s="182"/>
      <c r="Q36" s="183"/>
      <c r="R36" s="183"/>
      <c r="S36" s="183"/>
      <c r="T36" s="183"/>
      <c r="U36" s="183"/>
      <c r="V36" s="183"/>
      <c r="W36" s="183"/>
      <c r="X36" s="183"/>
      <c r="Y36" s="183"/>
      <c r="Z36" s="183"/>
      <c r="AA36" s="183"/>
      <c r="AB36" s="183"/>
      <c r="AC36" s="69" t="s">
        <v>114</v>
      </c>
      <c r="AD36" s="72">
        <v>39</v>
      </c>
    </row>
    <row r="37" spans="1:30" x14ac:dyDescent="0.3">
      <c r="A37" s="85"/>
      <c r="B37" s="173"/>
      <c r="C37" s="174"/>
      <c r="D37" s="174"/>
      <c r="E37" s="174"/>
      <c r="F37" s="174"/>
      <c r="G37" s="174"/>
      <c r="H37" s="174"/>
      <c r="I37" s="174"/>
      <c r="J37" s="174"/>
      <c r="K37" s="174"/>
      <c r="L37" s="174"/>
      <c r="M37" s="174"/>
      <c r="N37" s="175"/>
      <c r="O37" s="85"/>
      <c r="P37" s="182"/>
      <c r="Q37" s="183"/>
      <c r="R37" s="183"/>
      <c r="S37" s="183"/>
      <c r="T37" s="183"/>
      <c r="U37" s="183"/>
      <c r="V37" s="183"/>
      <c r="W37" s="183"/>
      <c r="X37" s="183"/>
      <c r="Y37" s="183"/>
      <c r="Z37" s="183"/>
      <c r="AA37" s="183"/>
      <c r="AB37" s="183"/>
      <c r="AC37" s="69" t="s">
        <v>106</v>
      </c>
      <c r="AD37" s="72">
        <v>78</v>
      </c>
    </row>
    <row r="38" spans="1:30" x14ac:dyDescent="0.3">
      <c r="A38" s="85"/>
      <c r="B38" s="173"/>
      <c r="C38" s="174"/>
      <c r="D38" s="174"/>
      <c r="E38" s="174"/>
      <c r="F38" s="174"/>
      <c r="G38" s="174"/>
      <c r="H38" s="174"/>
      <c r="I38" s="174"/>
      <c r="J38" s="174"/>
      <c r="K38" s="174"/>
      <c r="L38" s="174"/>
      <c r="M38" s="174"/>
      <c r="N38" s="175"/>
      <c r="O38" s="85"/>
      <c r="P38" s="182"/>
      <c r="Q38" s="183"/>
      <c r="R38" s="183"/>
      <c r="S38" s="183"/>
      <c r="T38" s="183"/>
      <c r="U38" s="183"/>
      <c r="V38" s="183"/>
      <c r="W38" s="183"/>
      <c r="X38" s="183"/>
      <c r="Y38" s="183"/>
      <c r="Z38" s="183"/>
      <c r="AA38" s="183"/>
      <c r="AB38" s="183"/>
      <c r="AC38" s="69" t="s">
        <v>105</v>
      </c>
      <c r="AD38" s="72">
        <v>78</v>
      </c>
    </row>
    <row r="39" spans="1:30" x14ac:dyDescent="0.3">
      <c r="A39" s="85"/>
      <c r="B39" s="173"/>
      <c r="C39" s="174"/>
      <c r="D39" s="174"/>
      <c r="E39" s="174"/>
      <c r="F39" s="174"/>
      <c r="G39" s="174"/>
      <c r="H39" s="174"/>
      <c r="I39" s="174"/>
      <c r="J39" s="174"/>
      <c r="K39" s="174"/>
      <c r="L39" s="174"/>
      <c r="M39" s="174"/>
      <c r="N39" s="175"/>
      <c r="O39" s="85"/>
      <c r="P39" s="182"/>
      <c r="Q39" s="183"/>
      <c r="R39" s="183"/>
      <c r="S39" s="183"/>
      <c r="T39" s="183"/>
      <c r="U39" s="183"/>
      <c r="V39" s="183"/>
      <c r="W39" s="183"/>
      <c r="X39" s="183"/>
      <c r="Y39" s="183"/>
      <c r="Z39" s="183"/>
      <c r="AA39" s="183"/>
      <c r="AB39" s="183"/>
      <c r="AC39" s="69" t="s">
        <v>53</v>
      </c>
      <c r="AD39" s="72">
        <v>47</v>
      </c>
    </row>
    <row r="40" spans="1:30" x14ac:dyDescent="0.3">
      <c r="A40" s="85"/>
      <c r="B40" s="173"/>
      <c r="C40" s="174"/>
      <c r="D40" s="174"/>
      <c r="E40" s="174"/>
      <c r="F40" s="174"/>
      <c r="G40" s="174"/>
      <c r="H40" s="174"/>
      <c r="I40" s="174"/>
      <c r="J40" s="174"/>
      <c r="K40" s="174"/>
      <c r="L40" s="174"/>
      <c r="M40" s="174"/>
      <c r="N40" s="175"/>
      <c r="O40" s="85"/>
      <c r="P40" s="182"/>
      <c r="Q40" s="183"/>
      <c r="R40" s="183"/>
      <c r="S40" s="183"/>
      <c r="T40" s="183"/>
      <c r="U40" s="183"/>
      <c r="V40" s="183"/>
      <c r="W40" s="183"/>
      <c r="X40" s="183"/>
      <c r="Y40" s="183"/>
      <c r="Z40" s="183"/>
      <c r="AA40" s="183"/>
      <c r="AB40" s="183"/>
      <c r="AC40" s="69" t="s">
        <v>52</v>
      </c>
      <c r="AD40" s="72">
        <v>47</v>
      </c>
    </row>
    <row r="41" spans="1:30" x14ac:dyDescent="0.3">
      <c r="A41" s="85"/>
      <c r="B41" s="173"/>
      <c r="C41" s="174"/>
      <c r="D41" s="174"/>
      <c r="E41" s="174"/>
      <c r="F41" s="174"/>
      <c r="G41" s="174"/>
      <c r="H41" s="174"/>
      <c r="I41" s="174"/>
      <c r="J41" s="174"/>
      <c r="K41" s="174"/>
      <c r="L41" s="174"/>
      <c r="M41" s="174"/>
      <c r="N41" s="175"/>
      <c r="O41" s="85"/>
      <c r="P41" s="182"/>
      <c r="Q41" s="183"/>
      <c r="R41" s="183"/>
      <c r="S41" s="183"/>
      <c r="T41" s="183"/>
      <c r="U41" s="183"/>
      <c r="V41" s="183"/>
      <c r="W41" s="183"/>
      <c r="X41" s="183"/>
      <c r="Y41" s="183"/>
      <c r="Z41" s="183"/>
      <c r="AA41" s="183"/>
      <c r="AB41" s="183"/>
      <c r="AC41" s="69" t="s">
        <v>118</v>
      </c>
      <c r="AD41" s="72">
        <v>89</v>
      </c>
    </row>
    <row r="42" spans="1:30" x14ac:dyDescent="0.3">
      <c r="A42" s="85"/>
      <c r="B42" s="173"/>
      <c r="C42" s="174"/>
      <c r="D42" s="174"/>
      <c r="E42" s="174"/>
      <c r="F42" s="174"/>
      <c r="G42" s="174"/>
      <c r="H42" s="174"/>
      <c r="I42" s="174"/>
      <c r="J42" s="174"/>
      <c r="K42" s="174"/>
      <c r="L42" s="174"/>
      <c r="M42" s="174"/>
      <c r="N42" s="175"/>
      <c r="O42" s="85"/>
      <c r="P42" s="182"/>
      <c r="Q42" s="183"/>
      <c r="R42" s="183"/>
      <c r="S42" s="183"/>
      <c r="T42" s="183"/>
      <c r="U42" s="183"/>
      <c r="V42" s="183"/>
      <c r="W42" s="183"/>
      <c r="X42" s="183"/>
      <c r="Y42" s="183"/>
      <c r="Z42" s="183"/>
      <c r="AA42" s="183"/>
      <c r="AB42" s="183"/>
      <c r="AC42" s="69" t="s">
        <v>117</v>
      </c>
      <c r="AD42" s="72">
        <v>89</v>
      </c>
    </row>
    <row r="43" spans="1:30" x14ac:dyDescent="0.3">
      <c r="A43" s="85"/>
      <c r="B43" s="173"/>
      <c r="C43" s="174"/>
      <c r="D43" s="174"/>
      <c r="E43" s="174"/>
      <c r="F43" s="174"/>
      <c r="G43" s="174"/>
      <c r="H43" s="174"/>
      <c r="I43" s="174"/>
      <c r="J43" s="174"/>
      <c r="K43" s="174"/>
      <c r="L43" s="174"/>
      <c r="M43" s="174"/>
      <c r="N43" s="175"/>
      <c r="O43" s="85"/>
      <c r="P43" s="182"/>
      <c r="Q43" s="183"/>
      <c r="R43" s="183"/>
      <c r="S43" s="183"/>
      <c r="T43" s="183"/>
      <c r="U43" s="183"/>
      <c r="V43" s="183"/>
      <c r="W43" s="183"/>
      <c r="X43" s="183"/>
      <c r="Y43" s="183"/>
      <c r="Z43" s="183"/>
      <c r="AA43" s="183"/>
      <c r="AB43" s="183"/>
      <c r="AC43" s="69" t="s">
        <v>62</v>
      </c>
      <c r="AD43" s="72">
        <v>75</v>
      </c>
    </row>
    <row r="44" spans="1:30" x14ac:dyDescent="0.3">
      <c r="A44" s="85"/>
      <c r="B44" s="173"/>
      <c r="C44" s="174"/>
      <c r="D44" s="174"/>
      <c r="E44" s="174"/>
      <c r="F44" s="174"/>
      <c r="G44" s="174"/>
      <c r="H44" s="174"/>
      <c r="I44" s="174"/>
      <c r="J44" s="174"/>
      <c r="K44" s="174"/>
      <c r="L44" s="174"/>
      <c r="M44" s="174"/>
      <c r="N44" s="175"/>
      <c r="O44" s="85"/>
      <c r="P44" s="182"/>
      <c r="Q44" s="183"/>
      <c r="R44" s="183"/>
      <c r="S44" s="183"/>
      <c r="T44" s="183"/>
      <c r="U44" s="183"/>
      <c r="V44" s="183"/>
      <c r="W44" s="183"/>
      <c r="X44" s="183"/>
      <c r="Y44" s="183"/>
      <c r="Z44" s="183"/>
      <c r="AA44" s="183"/>
      <c r="AB44" s="183"/>
      <c r="AC44" s="69" t="s">
        <v>61</v>
      </c>
      <c r="AD44" s="72">
        <v>75</v>
      </c>
    </row>
    <row r="45" spans="1:30" x14ac:dyDescent="0.3">
      <c r="A45" s="85"/>
      <c r="B45" s="173"/>
      <c r="C45" s="174"/>
      <c r="D45" s="174"/>
      <c r="E45" s="174"/>
      <c r="F45" s="174"/>
      <c r="G45" s="174"/>
      <c r="H45" s="174"/>
      <c r="I45" s="174"/>
      <c r="J45" s="174"/>
      <c r="K45" s="174"/>
      <c r="L45" s="174"/>
      <c r="M45" s="174"/>
      <c r="N45" s="175"/>
      <c r="O45" s="85"/>
      <c r="P45" s="182"/>
      <c r="Q45" s="183"/>
      <c r="R45" s="183"/>
      <c r="S45" s="183"/>
      <c r="T45" s="183"/>
      <c r="U45" s="183"/>
      <c r="V45" s="183"/>
      <c r="W45" s="183"/>
      <c r="X45" s="183"/>
      <c r="Y45" s="183"/>
      <c r="Z45" s="183"/>
      <c r="AA45" s="183"/>
      <c r="AB45" s="183"/>
      <c r="AC45" s="69" t="s">
        <v>18</v>
      </c>
      <c r="AD45" s="72">
        <v>88</v>
      </c>
    </row>
    <row r="46" spans="1:30" x14ac:dyDescent="0.3">
      <c r="A46" s="85"/>
      <c r="B46" s="173"/>
      <c r="C46" s="174"/>
      <c r="D46" s="174"/>
      <c r="E46" s="174"/>
      <c r="F46" s="174"/>
      <c r="G46" s="174"/>
      <c r="H46" s="174"/>
      <c r="I46" s="174"/>
      <c r="J46" s="174"/>
      <c r="K46" s="174"/>
      <c r="L46" s="174"/>
      <c r="M46" s="174"/>
      <c r="N46" s="175"/>
      <c r="O46" s="85"/>
      <c r="P46" s="182"/>
      <c r="Q46" s="183"/>
      <c r="R46" s="183"/>
      <c r="S46" s="183"/>
      <c r="T46" s="183"/>
      <c r="U46" s="183"/>
      <c r="V46" s="183"/>
      <c r="W46" s="183"/>
      <c r="X46" s="183"/>
      <c r="Y46" s="183"/>
      <c r="Z46" s="183"/>
      <c r="AA46" s="183"/>
      <c r="AB46" s="183"/>
      <c r="AC46" s="69" t="s">
        <v>17</v>
      </c>
      <c r="AD46" s="72">
        <v>88</v>
      </c>
    </row>
    <row r="47" spans="1:30" x14ac:dyDescent="0.3">
      <c r="A47" s="85"/>
      <c r="B47" s="173"/>
      <c r="C47" s="174"/>
      <c r="D47" s="174"/>
      <c r="E47" s="174"/>
      <c r="F47" s="174"/>
      <c r="G47" s="174"/>
      <c r="H47" s="174"/>
      <c r="I47" s="174"/>
      <c r="J47" s="174"/>
      <c r="K47" s="174"/>
      <c r="L47" s="174"/>
      <c r="M47" s="174"/>
      <c r="N47" s="175"/>
      <c r="O47" s="85"/>
      <c r="P47" s="182"/>
      <c r="Q47" s="183"/>
      <c r="R47" s="183"/>
      <c r="S47" s="183"/>
      <c r="T47" s="183"/>
      <c r="U47" s="183"/>
      <c r="V47" s="183"/>
      <c r="W47" s="183"/>
      <c r="X47" s="183"/>
      <c r="Y47" s="183"/>
      <c r="Z47" s="183"/>
      <c r="AA47" s="183"/>
      <c r="AB47" s="183"/>
      <c r="AC47" s="69" t="s">
        <v>127</v>
      </c>
      <c r="AD47" s="72">
        <v>52</v>
      </c>
    </row>
    <row r="48" spans="1:30" x14ac:dyDescent="0.3">
      <c r="A48" s="85"/>
      <c r="B48" s="173"/>
      <c r="C48" s="174"/>
      <c r="D48" s="174"/>
      <c r="E48" s="174"/>
      <c r="F48" s="174"/>
      <c r="G48" s="174"/>
      <c r="H48" s="174"/>
      <c r="I48" s="174"/>
      <c r="J48" s="174"/>
      <c r="K48" s="174"/>
      <c r="L48" s="174"/>
      <c r="M48" s="174"/>
      <c r="N48" s="175"/>
      <c r="O48" s="85"/>
      <c r="P48" s="182"/>
      <c r="Q48" s="183"/>
      <c r="R48" s="183"/>
      <c r="S48" s="183"/>
      <c r="T48" s="183"/>
      <c r="U48" s="183"/>
      <c r="V48" s="183"/>
      <c r="W48" s="183"/>
      <c r="X48" s="183"/>
      <c r="Y48" s="183"/>
      <c r="Z48" s="183"/>
      <c r="AA48" s="183"/>
      <c r="AB48" s="183"/>
      <c r="AC48" s="69" t="s">
        <v>126</v>
      </c>
      <c r="AD48" s="72">
        <v>52</v>
      </c>
    </row>
    <row r="49" spans="1:30" x14ac:dyDescent="0.3">
      <c r="A49" s="85"/>
      <c r="B49" s="173"/>
      <c r="C49" s="174"/>
      <c r="D49" s="174"/>
      <c r="E49" s="174"/>
      <c r="F49" s="174"/>
      <c r="G49" s="174"/>
      <c r="H49" s="174"/>
      <c r="I49" s="174"/>
      <c r="J49" s="174"/>
      <c r="K49" s="174"/>
      <c r="L49" s="174"/>
      <c r="M49" s="174"/>
      <c r="N49" s="175"/>
      <c r="O49" s="85"/>
      <c r="P49" s="182"/>
      <c r="Q49" s="183"/>
      <c r="R49" s="183"/>
      <c r="S49" s="183"/>
      <c r="T49" s="183"/>
      <c r="U49" s="183"/>
      <c r="V49" s="183"/>
      <c r="W49" s="183"/>
      <c r="X49" s="183"/>
      <c r="Y49" s="183"/>
      <c r="Z49" s="183"/>
      <c r="AA49" s="183"/>
      <c r="AB49" s="183"/>
      <c r="AC49" s="69" t="s">
        <v>81</v>
      </c>
      <c r="AD49" s="72">
        <v>96</v>
      </c>
    </row>
    <row r="50" spans="1:30" ht="15" thickBot="1" x14ac:dyDescent="0.35">
      <c r="A50" s="85"/>
      <c r="B50" s="173"/>
      <c r="C50" s="174"/>
      <c r="D50" s="174"/>
      <c r="E50" s="174"/>
      <c r="F50" s="174"/>
      <c r="G50" s="174"/>
      <c r="H50" s="174"/>
      <c r="I50" s="174"/>
      <c r="J50" s="174"/>
      <c r="K50" s="174"/>
      <c r="L50" s="174"/>
      <c r="M50" s="174"/>
      <c r="N50" s="175"/>
      <c r="O50" s="85"/>
      <c r="P50" s="182"/>
      <c r="Q50" s="183"/>
      <c r="R50" s="183"/>
      <c r="S50" s="183"/>
      <c r="T50" s="183"/>
      <c r="U50" s="183"/>
      <c r="V50" s="183"/>
      <c r="W50" s="183"/>
      <c r="X50" s="183"/>
      <c r="Y50" s="183"/>
      <c r="Z50" s="183"/>
      <c r="AA50" s="183"/>
      <c r="AB50" s="183"/>
      <c r="AC50" s="69" t="s">
        <v>80</v>
      </c>
      <c r="AD50" s="72">
        <v>96</v>
      </c>
    </row>
    <row r="51" spans="1:30" ht="15" thickBot="1" x14ac:dyDescent="0.35">
      <c r="A51" s="85"/>
      <c r="B51" s="173"/>
      <c r="C51" s="174"/>
      <c r="D51" s="174"/>
      <c r="E51" s="174"/>
      <c r="F51" s="174"/>
      <c r="G51" s="174"/>
      <c r="H51" s="174"/>
      <c r="I51" s="174"/>
      <c r="J51" s="174"/>
      <c r="K51" s="174"/>
      <c r="L51" s="174"/>
      <c r="M51" s="174"/>
      <c r="N51" s="175"/>
      <c r="O51" s="85"/>
      <c r="P51" s="182"/>
      <c r="Q51" s="183"/>
      <c r="R51" s="183"/>
      <c r="S51" s="183"/>
      <c r="T51" s="183"/>
      <c r="U51" s="183"/>
      <c r="V51" s="183"/>
      <c r="W51" s="183"/>
      <c r="X51" s="183"/>
      <c r="Y51" s="183"/>
      <c r="Z51" s="183"/>
      <c r="AA51" s="183"/>
      <c r="AB51" s="183"/>
      <c r="AC51" s="73" t="s">
        <v>465</v>
      </c>
      <c r="AD51" s="74">
        <v>770.00400080016004</v>
      </c>
    </row>
    <row r="52" spans="1:30" ht="15" thickBot="1" x14ac:dyDescent="0.35">
      <c r="A52" s="85"/>
      <c r="B52" s="176"/>
      <c r="C52" s="177"/>
      <c r="D52" s="177"/>
      <c r="E52" s="177"/>
      <c r="F52" s="177"/>
      <c r="G52" s="177"/>
      <c r="H52" s="177"/>
      <c r="I52" s="177"/>
      <c r="J52" s="177"/>
      <c r="K52" s="177"/>
      <c r="L52" s="177"/>
      <c r="M52" s="177"/>
      <c r="N52" s="178"/>
      <c r="O52" s="85"/>
      <c r="P52" s="184"/>
      <c r="Q52" s="185"/>
      <c r="R52" s="185"/>
      <c r="S52" s="185"/>
      <c r="T52" s="185"/>
      <c r="U52" s="185"/>
      <c r="V52" s="185"/>
      <c r="W52" s="185"/>
      <c r="X52" s="185"/>
      <c r="Y52" s="185"/>
      <c r="Z52" s="185"/>
      <c r="AA52" s="185"/>
      <c r="AB52" s="185"/>
      <c r="AC52" s="185"/>
      <c r="AD52" s="186"/>
    </row>
    <row r="53" spans="1:30" x14ac:dyDescent="0.3">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row>
    <row r="54" spans="1:30" x14ac:dyDescent="0.3">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row>
    <row r="55" spans="1:30" x14ac:dyDescent="0.3">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row>
    <row r="56" spans="1:30" x14ac:dyDescent="0.3">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row>
  </sheetData>
  <mergeCells count="5">
    <mergeCell ref="B3:N4"/>
    <mergeCell ref="P3:AD4"/>
    <mergeCell ref="A1:AD1"/>
    <mergeCell ref="B27:N28"/>
    <mergeCell ref="P27:AD28"/>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RawData</vt:lpstr>
      <vt:lpstr>DataAnalysis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DALSANIYA</dc:creator>
  <cp:lastModifiedBy>Herit Tanna</cp:lastModifiedBy>
  <dcterms:created xsi:type="dcterms:W3CDTF">2025-11-23T17:01:27Z</dcterms:created>
  <dcterms:modified xsi:type="dcterms:W3CDTF">2025-11-25T11:21:18Z</dcterms:modified>
</cp:coreProperties>
</file>