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hidePivotFieldList="1"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23040" windowHeight="8964"/>
  </bookViews>
  <sheets>
    <sheet name="DataSheet" sheetId="1" r:id="rId1"/>
    <sheet name="DataAnalysis" sheetId="2" r:id="rId2"/>
    <sheet name="PivotTables" sheetId="3" r:id="rId3"/>
    <sheet name="Sheet7" sheetId="12" r:id="rId4"/>
    <sheet name="DashBoard" sheetId="4" r:id="rId5"/>
    <sheet name="SummarySheet" sheetId="5" r:id="rId6"/>
  </sheets>
  <definedNames>
    <definedName name="Slicer_Category">#N/A</definedName>
    <definedName name="Slicer_Gender">#N/A</definedName>
    <definedName name="Slicer_PaymentMode">#N/A</definedName>
    <definedName name="Slicer_Product">#N/A</definedName>
    <definedName name="Slicer_Region">#N/A</definedName>
  </definedNames>
  <calcPr calcId="162913"/>
  <pivotCaches>
    <pivotCache cacheId="2"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8" i="2" l="1"/>
  <c r="Q13" i="2"/>
  <c r="Q9" i="2"/>
  <c r="N8" i="2"/>
  <c r="N5" i="2"/>
  <c r="C5" i="2"/>
  <c r="Q4" i="2"/>
  <c r="C4" i="2"/>
  <c r="C3" i="2"/>
  <c r="N2" i="2"/>
  <c r="K201" i="1"/>
  <c r="I201" i="1"/>
  <c r="K200" i="1"/>
  <c r="I200" i="1"/>
  <c r="K199" i="1"/>
  <c r="I199" i="1"/>
  <c r="K198" i="1"/>
  <c r="I198" i="1"/>
  <c r="K197" i="1"/>
  <c r="I197" i="1"/>
  <c r="K196" i="1"/>
  <c r="I196" i="1"/>
  <c r="K195" i="1"/>
  <c r="I195" i="1"/>
  <c r="K194" i="1"/>
  <c r="I194" i="1"/>
  <c r="K193" i="1"/>
  <c r="I193" i="1"/>
  <c r="K192" i="1"/>
  <c r="I192" i="1"/>
  <c r="K191" i="1"/>
  <c r="I191" i="1"/>
  <c r="K190" i="1"/>
  <c r="I190" i="1"/>
  <c r="K189" i="1"/>
  <c r="I189" i="1"/>
  <c r="K188" i="1"/>
  <c r="I188" i="1"/>
  <c r="K187" i="1"/>
  <c r="I187" i="1"/>
  <c r="K186" i="1"/>
  <c r="I186" i="1"/>
  <c r="K185" i="1"/>
  <c r="I185" i="1"/>
  <c r="K184" i="1"/>
  <c r="I184" i="1"/>
  <c r="K183" i="1"/>
  <c r="I183" i="1"/>
  <c r="K182" i="1"/>
  <c r="I182" i="1"/>
  <c r="K181" i="1"/>
  <c r="I181" i="1"/>
  <c r="K180" i="1"/>
  <c r="I180" i="1"/>
  <c r="K179" i="1"/>
  <c r="I179" i="1"/>
  <c r="K178" i="1"/>
  <c r="I178" i="1"/>
  <c r="K177" i="1"/>
  <c r="I177" i="1"/>
  <c r="K176" i="1"/>
  <c r="I176" i="1"/>
  <c r="K175" i="1"/>
  <c r="I175" i="1"/>
  <c r="K174" i="1"/>
  <c r="I174" i="1"/>
  <c r="K173" i="1"/>
  <c r="I173" i="1"/>
  <c r="K172" i="1"/>
  <c r="I172" i="1"/>
  <c r="K171" i="1"/>
  <c r="I171" i="1"/>
  <c r="K170" i="1"/>
  <c r="I170" i="1"/>
  <c r="K169" i="1"/>
  <c r="I169" i="1"/>
  <c r="K168" i="1"/>
  <c r="I168" i="1"/>
  <c r="K167" i="1"/>
  <c r="I167" i="1"/>
  <c r="K166" i="1"/>
  <c r="I166" i="1"/>
  <c r="K165" i="1"/>
  <c r="I165" i="1"/>
  <c r="K164" i="1"/>
  <c r="I164" i="1"/>
  <c r="K163" i="1"/>
  <c r="I163" i="1"/>
  <c r="K162" i="1"/>
  <c r="I162" i="1"/>
  <c r="K161" i="1"/>
  <c r="I161" i="1"/>
  <c r="K160" i="1"/>
  <c r="I160" i="1"/>
  <c r="K159" i="1"/>
  <c r="I159" i="1"/>
  <c r="K158" i="1"/>
  <c r="I158" i="1"/>
  <c r="K157" i="1"/>
  <c r="I157" i="1"/>
  <c r="K156" i="1"/>
  <c r="I156" i="1"/>
  <c r="K155" i="1"/>
  <c r="I155" i="1"/>
  <c r="K154" i="1"/>
  <c r="I154" i="1"/>
  <c r="K153" i="1"/>
  <c r="I153" i="1"/>
  <c r="K152" i="1"/>
  <c r="I152" i="1"/>
  <c r="K151" i="1"/>
  <c r="I151" i="1"/>
  <c r="K150" i="1"/>
  <c r="I150" i="1"/>
  <c r="K149" i="1"/>
  <c r="I149" i="1"/>
  <c r="K148" i="1"/>
  <c r="I148" i="1"/>
  <c r="K147" i="1"/>
  <c r="I147" i="1"/>
  <c r="K146" i="1"/>
  <c r="I146" i="1"/>
  <c r="K145" i="1"/>
  <c r="I145" i="1"/>
  <c r="K144" i="1"/>
  <c r="I144" i="1"/>
  <c r="K143" i="1"/>
  <c r="I143" i="1"/>
  <c r="K142" i="1"/>
  <c r="I142" i="1"/>
  <c r="K141" i="1"/>
  <c r="I141" i="1"/>
  <c r="K140" i="1"/>
  <c r="I140" i="1"/>
  <c r="K139" i="1"/>
  <c r="I139" i="1"/>
  <c r="K138" i="1"/>
  <c r="I138" i="1"/>
  <c r="K137" i="1"/>
  <c r="I137" i="1"/>
  <c r="K136" i="1"/>
  <c r="I136" i="1"/>
  <c r="K135" i="1"/>
  <c r="I135" i="1"/>
  <c r="K134" i="1"/>
  <c r="I134" i="1"/>
  <c r="K133" i="1"/>
  <c r="I133" i="1"/>
  <c r="K132" i="1"/>
  <c r="I132" i="1"/>
  <c r="K131" i="1"/>
  <c r="I131" i="1"/>
  <c r="K130" i="1"/>
  <c r="I130" i="1"/>
  <c r="K129" i="1"/>
  <c r="I129" i="1"/>
  <c r="K128" i="1"/>
  <c r="I128" i="1"/>
  <c r="K127" i="1"/>
  <c r="I127" i="1"/>
  <c r="K126" i="1"/>
  <c r="I126" i="1"/>
  <c r="K125" i="1"/>
  <c r="I125" i="1"/>
  <c r="K124" i="1"/>
  <c r="I124" i="1"/>
  <c r="K123" i="1"/>
  <c r="I123" i="1"/>
  <c r="K122" i="1"/>
  <c r="I122" i="1"/>
  <c r="K121" i="1"/>
  <c r="I121" i="1"/>
  <c r="K120" i="1"/>
  <c r="I120" i="1"/>
  <c r="K119" i="1"/>
  <c r="I119" i="1"/>
  <c r="K118" i="1"/>
  <c r="I118" i="1"/>
  <c r="K117" i="1"/>
  <c r="I117" i="1"/>
  <c r="K116" i="1"/>
  <c r="I116" i="1"/>
  <c r="K115" i="1"/>
  <c r="I115" i="1"/>
  <c r="K114" i="1"/>
  <c r="I114" i="1"/>
  <c r="K113" i="1"/>
  <c r="I113" i="1"/>
  <c r="K112" i="1"/>
  <c r="I112" i="1"/>
  <c r="K111" i="1"/>
  <c r="I111" i="1"/>
  <c r="K110" i="1"/>
  <c r="I110" i="1"/>
  <c r="K109" i="1"/>
  <c r="I109" i="1"/>
  <c r="K108" i="1"/>
  <c r="I108" i="1"/>
  <c r="K107" i="1"/>
  <c r="I107" i="1"/>
  <c r="K106" i="1"/>
  <c r="I106" i="1"/>
  <c r="K105" i="1"/>
  <c r="I105" i="1"/>
  <c r="K104" i="1"/>
  <c r="I104" i="1"/>
  <c r="K103" i="1"/>
  <c r="I103" i="1"/>
  <c r="K102" i="1"/>
  <c r="I102" i="1"/>
  <c r="K101" i="1"/>
  <c r="I101" i="1"/>
  <c r="K100" i="1"/>
  <c r="I100" i="1"/>
  <c r="K99" i="1"/>
  <c r="I99" i="1"/>
  <c r="K98" i="1"/>
  <c r="I98" i="1"/>
  <c r="K97" i="1"/>
  <c r="I97" i="1"/>
  <c r="K96" i="1"/>
  <c r="I96" i="1"/>
  <c r="K95" i="1"/>
  <c r="I95" i="1"/>
  <c r="K94" i="1"/>
  <c r="I94" i="1"/>
  <c r="K93" i="1"/>
  <c r="I93" i="1"/>
  <c r="K92" i="1"/>
  <c r="I92" i="1"/>
  <c r="K91" i="1"/>
  <c r="I91" i="1"/>
  <c r="K90" i="1"/>
  <c r="I90" i="1"/>
  <c r="K89" i="1"/>
  <c r="I89" i="1"/>
  <c r="K88" i="1"/>
  <c r="I88" i="1"/>
  <c r="K87" i="1"/>
  <c r="I87" i="1"/>
  <c r="K86" i="1"/>
  <c r="I86" i="1"/>
  <c r="K85" i="1"/>
  <c r="I85" i="1"/>
  <c r="K84" i="1"/>
  <c r="I84" i="1"/>
  <c r="K83" i="1"/>
  <c r="I83" i="1"/>
  <c r="K82" i="1"/>
  <c r="I82" i="1"/>
  <c r="K81" i="1"/>
  <c r="I81" i="1"/>
  <c r="K80" i="1"/>
  <c r="I80" i="1"/>
  <c r="K79" i="1"/>
  <c r="I79" i="1"/>
  <c r="K78" i="1"/>
  <c r="I78" i="1"/>
  <c r="K77" i="1"/>
  <c r="I77" i="1"/>
  <c r="K76" i="1"/>
  <c r="I76" i="1"/>
  <c r="K75" i="1"/>
  <c r="I75" i="1"/>
  <c r="K74" i="1"/>
  <c r="I74" i="1"/>
  <c r="K73" i="1"/>
  <c r="I73" i="1"/>
  <c r="K72" i="1"/>
  <c r="I72" i="1"/>
  <c r="K71" i="1"/>
  <c r="I71" i="1"/>
  <c r="K70" i="1"/>
  <c r="I70" i="1"/>
  <c r="K69" i="1"/>
  <c r="I69" i="1"/>
  <c r="K68" i="1"/>
  <c r="I68" i="1"/>
  <c r="K67" i="1"/>
  <c r="I67" i="1"/>
  <c r="K66" i="1"/>
  <c r="I66" i="1"/>
  <c r="K65" i="1"/>
  <c r="I65" i="1"/>
  <c r="K64" i="1"/>
  <c r="I64" i="1"/>
  <c r="K63" i="1"/>
  <c r="I63" i="1"/>
  <c r="K62" i="1"/>
  <c r="I62" i="1"/>
  <c r="K61" i="1"/>
  <c r="I61" i="1"/>
  <c r="K60" i="1"/>
  <c r="I60" i="1"/>
  <c r="K59" i="1"/>
  <c r="I59" i="1"/>
  <c r="K58" i="1"/>
  <c r="I58" i="1"/>
  <c r="K57" i="1"/>
  <c r="I57" i="1"/>
  <c r="K56" i="1"/>
  <c r="I56" i="1"/>
  <c r="K55" i="1"/>
  <c r="I55" i="1"/>
  <c r="K54" i="1"/>
  <c r="I54" i="1"/>
  <c r="K53" i="1"/>
  <c r="I53" i="1"/>
  <c r="K52" i="1"/>
  <c r="I52" i="1"/>
  <c r="K51" i="1"/>
  <c r="I51" i="1"/>
  <c r="K50" i="1"/>
  <c r="I50" i="1"/>
  <c r="K49" i="1"/>
  <c r="I49" i="1"/>
  <c r="K48" i="1"/>
  <c r="I48" i="1"/>
  <c r="K47" i="1"/>
  <c r="I47" i="1"/>
  <c r="K46" i="1"/>
  <c r="I46" i="1"/>
  <c r="K45" i="1"/>
  <c r="I45" i="1"/>
  <c r="K44" i="1"/>
  <c r="I44" i="1"/>
  <c r="K43" i="1"/>
  <c r="I43" i="1"/>
  <c r="K42" i="1"/>
  <c r="I42" i="1"/>
  <c r="K41" i="1"/>
  <c r="I41" i="1"/>
  <c r="K40" i="1"/>
  <c r="I40" i="1"/>
  <c r="K39" i="1"/>
  <c r="I39" i="1"/>
  <c r="K38" i="1"/>
  <c r="I38" i="1"/>
  <c r="K37" i="1"/>
  <c r="I37" i="1"/>
  <c r="K36" i="1"/>
  <c r="I36" i="1"/>
  <c r="K35" i="1"/>
  <c r="I35" i="1"/>
  <c r="K34" i="1"/>
  <c r="I34" i="1"/>
  <c r="K33" i="1"/>
  <c r="I33" i="1"/>
  <c r="K32" i="1"/>
  <c r="I32" i="1"/>
  <c r="K31" i="1"/>
  <c r="I31" i="1"/>
  <c r="K30" i="1"/>
  <c r="I30" i="1"/>
  <c r="K29" i="1"/>
  <c r="I29" i="1"/>
  <c r="K28" i="1"/>
  <c r="I28" i="1"/>
  <c r="K27" i="1"/>
  <c r="I27" i="1"/>
  <c r="K26" i="1"/>
  <c r="I26" i="1"/>
  <c r="K25" i="1"/>
  <c r="I25" i="1"/>
  <c r="K24" i="1"/>
  <c r="I24" i="1"/>
  <c r="K23" i="1"/>
  <c r="I23" i="1"/>
  <c r="K22" i="1"/>
  <c r="I22" i="1"/>
  <c r="K21" i="1"/>
  <c r="I21" i="1"/>
  <c r="K20" i="1"/>
  <c r="I20" i="1"/>
  <c r="K19" i="1"/>
  <c r="I19" i="1"/>
  <c r="K18" i="1"/>
  <c r="I18" i="1"/>
  <c r="K17" i="1"/>
  <c r="I17" i="1"/>
  <c r="K16" i="1"/>
  <c r="I16" i="1"/>
  <c r="K15" i="1"/>
  <c r="I15" i="1"/>
  <c r="K14" i="1"/>
  <c r="I14" i="1"/>
  <c r="K13" i="1"/>
  <c r="I13" i="1"/>
  <c r="K12" i="1"/>
  <c r="I12" i="1"/>
  <c r="K11" i="1"/>
  <c r="I11" i="1"/>
  <c r="K10" i="1"/>
  <c r="I10" i="1"/>
  <c r="K9" i="1"/>
  <c r="I9" i="1"/>
  <c r="K8" i="1"/>
  <c r="I8" i="1"/>
  <c r="K7" i="1"/>
  <c r="I7" i="1"/>
  <c r="K6" i="1"/>
  <c r="I6" i="1"/>
  <c r="K5" i="1"/>
  <c r="I5" i="1"/>
  <c r="I4" i="1"/>
  <c r="I3" i="1"/>
  <c r="I2" i="1"/>
</calcChain>
</file>

<file path=xl/sharedStrings.xml><?xml version="1.0" encoding="utf-8"?>
<sst xmlns="http://schemas.openxmlformats.org/spreadsheetml/2006/main" count="2117" uniqueCount="463">
  <si>
    <t>TransactionID</t>
  </si>
  <si>
    <t>CustomerName</t>
  </si>
  <si>
    <t>Gender</t>
  </si>
  <si>
    <t>Age</t>
  </si>
  <si>
    <t>Product</t>
  </si>
  <si>
    <t>Category</t>
  </si>
  <si>
    <t>Quantity</t>
  </si>
  <si>
    <t>UnitPrice</t>
  </si>
  <si>
    <t>TotalPrice</t>
  </si>
  <si>
    <t>DiscountPercent</t>
  </si>
  <si>
    <t>FinalPrice</t>
  </si>
  <si>
    <t>Date</t>
  </si>
  <si>
    <t>Region</t>
  </si>
  <si>
    <t>PaymentMode</t>
  </si>
  <si>
    <t>T0001</t>
  </si>
  <si>
    <t>Diya</t>
  </si>
  <si>
    <t>F</t>
  </si>
  <si>
    <t>Headphones</t>
  </si>
  <si>
    <t>Electronics</t>
  </si>
  <si>
    <t>2024-11-07</t>
  </si>
  <si>
    <t>South</t>
  </si>
  <si>
    <t>UPI</t>
  </si>
  <si>
    <t>T0002</t>
  </si>
  <si>
    <t>Kabir</t>
  </si>
  <si>
    <t>M</t>
  </si>
  <si>
    <t>Laptop</t>
  </si>
  <si>
    <t>2024-06-19</t>
  </si>
  <si>
    <t>East</t>
  </si>
  <si>
    <t>Card</t>
  </si>
  <si>
    <t>T0003</t>
  </si>
  <si>
    <t>Mobile</t>
  </si>
  <si>
    <t>2024-12-16</t>
  </si>
  <si>
    <t>Cash</t>
  </si>
  <si>
    <t>T0004</t>
  </si>
  <si>
    <t>Aisha</t>
  </si>
  <si>
    <t>2024-04-03</t>
  </si>
  <si>
    <t>West</t>
  </si>
  <si>
    <t>T0005</t>
  </si>
  <si>
    <t>Shirt</t>
  </si>
  <si>
    <t>Fashion</t>
  </si>
  <si>
    <t>NetBanking</t>
  </si>
  <si>
    <t>T0006</t>
  </si>
  <si>
    <t>Mixer</t>
  </si>
  <si>
    <t>Home</t>
  </si>
  <si>
    <t>2024-11-25</t>
  </si>
  <si>
    <t>North</t>
  </si>
  <si>
    <t>T0007</t>
  </si>
  <si>
    <t>Watch</t>
  </si>
  <si>
    <t>Accessories</t>
  </si>
  <si>
    <t>2024-08-24</t>
  </si>
  <si>
    <t>T0008</t>
  </si>
  <si>
    <t>Siya</t>
  </si>
  <si>
    <t>2024-09-14</t>
  </si>
  <si>
    <t>T0009</t>
  </si>
  <si>
    <t>Aarav</t>
  </si>
  <si>
    <t>2024-09-09</t>
  </si>
  <si>
    <t>T0010</t>
  </si>
  <si>
    <t>2024-07-15</t>
  </si>
  <si>
    <t>T0011</t>
  </si>
  <si>
    <t>Backpack</t>
  </si>
  <si>
    <t>2024-04-16</t>
  </si>
  <si>
    <t>T0012</t>
  </si>
  <si>
    <t>2024-02-06</t>
  </si>
  <si>
    <t>T0013</t>
  </si>
  <si>
    <t>2024-06-02</t>
  </si>
  <si>
    <t>T0014</t>
  </si>
  <si>
    <t>Rohan</t>
  </si>
  <si>
    <t>2024-05-02</t>
  </si>
  <si>
    <t>T0015</t>
  </si>
  <si>
    <t>Meera</t>
  </si>
  <si>
    <t>2024-01-17</t>
  </si>
  <si>
    <t>T0016</t>
  </si>
  <si>
    <t>2024-11-04</t>
  </si>
  <si>
    <t>T0017</t>
  </si>
  <si>
    <t>2024-05-18</t>
  </si>
  <si>
    <t>T0018</t>
  </si>
  <si>
    <t>Arjun</t>
  </si>
  <si>
    <t>2024-03-18</t>
  </si>
  <si>
    <t>T0019</t>
  </si>
  <si>
    <t>2024-10-11</t>
  </si>
  <si>
    <t>T0020</t>
  </si>
  <si>
    <t>Vivaan</t>
  </si>
  <si>
    <t>2024-06-30</t>
  </si>
  <si>
    <t>T0021</t>
  </si>
  <si>
    <t>2024-07-30</t>
  </si>
  <si>
    <t>T0022</t>
  </si>
  <si>
    <t>2024-07-08</t>
  </si>
  <si>
    <t>T0023</t>
  </si>
  <si>
    <t>2024-01-29</t>
  </si>
  <si>
    <t>T0024</t>
  </si>
  <si>
    <t>T0025</t>
  </si>
  <si>
    <t>2024-10-27</t>
  </si>
  <si>
    <t>T0026</t>
  </si>
  <si>
    <t>Pooja</t>
  </si>
  <si>
    <t>2024-10-04</t>
  </si>
  <si>
    <t>T0027</t>
  </si>
  <si>
    <t>2024-08-22</t>
  </si>
  <si>
    <t>T0028</t>
  </si>
  <si>
    <t>2024-09-01</t>
  </si>
  <si>
    <t>T0029</t>
  </si>
  <si>
    <t>2024-11-09</t>
  </si>
  <si>
    <t>T0030</t>
  </si>
  <si>
    <t>2024-12-27</t>
  </si>
  <si>
    <t>T0031</t>
  </si>
  <si>
    <t>T0032</t>
  </si>
  <si>
    <t>2024-09-06</t>
  </si>
  <si>
    <t>T0033</t>
  </si>
  <si>
    <t>2024-08-21</t>
  </si>
  <si>
    <t>T0034</t>
  </si>
  <si>
    <t>2024-02-20</t>
  </si>
  <si>
    <t>T0035</t>
  </si>
  <si>
    <t>2024-09-08</t>
  </si>
  <si>
    <t>T0036</t>
  </si>
  <si>
    <t>T0037</t>
  </si>
  <si>
    <t>2024-12-01</t>
  </si>
  <si>
    <t>T0038</t>
  </si>
  <si>
    <t>2024-01-27</t>
  </si>
  <si>
    <t>T0039</t>
  </si>
  <si>
    <t>2024-01-25</t>
  </si>
  <si>
    <t>T0040</t>
  </si>
  <si>
    <t>T0041</t>
  </si>
  <si>
    <t>2024-02-13</t>
  </si>
  <si>
    <t>T0042</t>
  </si>
  <si>
    <t>2024-02-24</t>
  </si>
  <si>
    <t>T0043</t>
  </si>
  <si>
    <t>T0044</t>
  </si>
  <si>
    <t>2024-01-18</t>
  </si>
  <si>
    <t>T0045</t>
  </si>
  <si>
    <t>2024-04-30</t>
  </si>
  <si>
    <t>T0046</t>
  </si>
  <si>
    <t>Shoes</t>
  </si>
  <si>
    <t>T0047</t>
  </si>
  <si>
    <t>2024-11-30</t>
  </si>
  <si>
    <t>T0048</t>
  </si>
  <si>
    <t>2024-08-05</t>
  </si>
  <si>
    <t>T0049</t>
  </si>
  <si>
    <t>2024-02-15</t>
  </si>
  <si>
    <t>T0050</t>
  </si>
  <si>
    <t>2024-04-20</t>
  </si>
  <si>
    <t>T0051</t>
  </si>
  <si>
    <t>2024-03-22</t>
  </si>
  <si>
    <t>T0052</t>
  </si>
  <si>
    <t>2024-04-17</t>
  </si>
  <si>
    <t>T0053</t>
  </si>
  <si>
    <t>2024-05-13</t>
  </si>
  <si>
    <t>T0054</t>
  </si>
  <si>
    <t>2024-01-03</t>
  </si>
  <si>
    <t>T0055</t>
  </si>
  <si>
    <t>2024-07-20</t>
  </si>
  <si>
    <t>T0056</t>
  </si>
  <si>
    <t>2024-10-14</t>
  </si>
  <si>
    <t>T0057</t>
  </si>
  <si>
    <t>2024-04-01</t>
  </si>
  <si>
    <t>T0058</t>
  </si>
  <si>
    <t>2024-01-01</t>
  </si>
  <si>
    <t>T0059</t>
  </si>
  <si>
    <t>2024-05-01</t>
  </si>
  <si>
    <t>T0060</t>
  </si>
  <si>
    <t>2024-05-23</t>
  </si>
  <si>
    <t>T0061</t>
  </si>
  <si>
    <t>2024-11-08</t>
  </si>
  <si>
    <t>T0062</t>
  </si>
  <si>
    <t>2024-10-24</t>
  </si>
  <si>
    <t>T0063</t>
  </si>
  <si>
    <t>2024-02-22</t>
  </si>
  <si>
    <t>T0064</t>
  </si>
  <si>
    <t>2024-06-06</t>
  </si>
  <si>
    <t>T0065</t>
  </si>
  <si>
    <t>2024-04-02</t>
  </si>
  <si>
    <t>T0066</t>
  </si>
  <si>
    <t>2024-07-24</t>
  </si>
  <si>
    <t>T0067</t>
  </si>
  <si>
    <t>T0068</t>
  </si>
  <si>
    <t>2024-08-26</t>
  </si>
  <si>
    <t>T0069</t>
  </si>
  <si>
    <t>2024-06-13</t>
  </si>
  <si>
    <t>T0070</t>
  </si>
  <si>
    <t>2024-12-24</t>
  </si>
  <si>
    <t>T0071</t>
  </si>
  <si>
    <t>2024-11-27</t>
  </si>
  <si>
    <t>T0072</t>
  </si>
  <si>
    <t>2024-03-19</t>
  </si>
  <si>
    <t>T0073</t>
  </si>
  <si>
    <t>2024-05-04</t>
  </si>
  <si>
    <t>T0074</t>
  </si>
  <si>
    <t>2024-10-31</t>
  </si>
  <si>
    <t>T0075</t>
  </si>
  <si>
    <t>T0076</t>
  </si>
  <si>
    <t>2024-04-21</t>
  </si>
  <si>
    <t>T0077</t>
  </si>
  <si>
    <t>2024-02-03</t>
  </si>
  <si>
    <t>T0078</t>
  </si>
  <si>
    <t>T0079</t>
  </si>
  <si>
    <t>T0080</t>
  </si>
  <si>
    <t>2024-04-06</t>
  </si>
  <si>
    <t>T0081</t>
  </si>
  <si>
    <t>T0082</t>
  </si>
  <si>
    <t>2024-11-05</t>
  </si>
  <si>
    <t>T0083</t>
  </si>
  <si>
    <t>2024-09-18</t>
  </si>
  <si>
    <t>T0084</t>
  </si>
  <si>
    <t>2024-05-19</t>
  </si>
  <si>
    <t>T0085</t>
  </si>
  <si>
    <t>2024-11-24</t>
  </si>
  <si>
    <t>T0086</t>
  </si>
  <si>
    <t>2024-08-16</t>
  </si>
  <si>
    <t>T0087</t>
  </si>
  <si>
    <t>T0088</t>
  </si>
  <si>
    <t>2024-08-10</t>
  </si>
  <si>
    <t>T0089</t>
  </si>
  <si>
    <t>2024-05-12</t>
  </si>
  <si>
    <t>T0090</t>
  </si>
  <si>
    <t>T0091</t>
  </si>
  <si>
    <t>T0092</t>
  </si>
  <si>
    <t>2024-04-23</t>
  </si>
  <si>
    <t>T0093</t>
  </si>
  <si>
    <t>2024-05-11</t>
  </si>
  <si>
    <t>T0094</t>
  </si>
  <si>
    <t>2024-01-15</t>
  </si>
  <si>
    <t>T0095</t>
  </si>
  <si>
    <t>2024-10-25</t>
  </si>
  <si>
    <t>T0096</t>
  </si>
  <si>
    <t>2024-05-16</t>
  </si>
  <si>
    <t>T0097</t>
  </si>
  <si>
    <t>2024-08-14</t>
  </si>
  <si>
    <t>T0098</t>
  </si>
  <si>
    <t>2024-08-07</t>
  </si>
  <si>
    <t>T0099</t>
  </si>
  <si>
    <t>2024-05-29</t>
  </si>
  <si>
    <t>T0100</t>
  </si>
  <si>
    <t>T0101</t>
  </si>
  <si>
    <t>T0102</t>
  </si>
  <si>
    <t>2024-05-17</t>
  </si>
  <si>
    <t>T0103</t>
  </si>
  <si>
    <t>2024-11-19</t>
  </si>
  <si>
    <t>T0104</t>
  </si>
  <si>
    <t>T0105</t>
  </si>
  <si>
    <t>T0106</t>
  </si>
  <si>
    <t>2024-02-01</t>
  </si>
  <si>
    <t>T0107</t>
  </si>
  <si>
    <t>2024-01-26</t>
  </si>
  <si>
    <t>T0108</t>
  </si>
  <si>
    <t>T0109</t>
  </si>
  <si>
    <t>2024-03-04</t>
  </si>
  <si>
    <t>T0110</t>
  </si>
  <si>
    <t>T0111</t>
  </si>
  <si>
    <t>T0112</t>
  </si>
  <si>
    <t>2024-09-16</t>
  </si>
  <si>
    <t>T0113</t>
  </si>
  <si>
    <t>T0114</t>
  </si>
  <si>
    <t>2024-12-26</t>
  </si>
  <si>
    <t>T0115</t>
  </si>
  <si>
    <t>2024-12-28</t>
  </si>
  <si>
    <t>T0116</t>
  </si>
  <si>
    <t>2024-11-02</t>
  </si>
  <si>
    <t>T0117</t>
  </si>
  <si>
    <t>T0118</t>
  </si>
  <si>
    <t>2024-06-22</t>
  </si>
  <si>
    <t>T0119</t>
  </si>
  <si>
    <t>T0120</t>
  </si>
  <si>
    <t>2024-01-10</t>
  </si>
  <si>
    <t>T0121</t>
  </si>
  <si>
    <t>T0122</t>
  </si>
  <si>
    <t>2024-03-29</t>
  </si>
  <si>
    <t>T0123</t>
  </si>
  <si>
    <t>2024-11-11</t>
  </si>
  <si>
    <t>T0124</t>
  </si>
  <si>
    <t>2024-01-22</t>
  </si>
  <si>
    <t>T0125</t>
  </si>
  <si>
    <t>2024-09-19</t>
  </si>
  <si>
    <t>T0126</t>
  </si>
  <si>
    <t>2024-05-08</t>
  </si>
  <si>
    <t>T0127</t>
  </si>
  <si>
    <t>2024-06-15</t>
  </si>
  <si>
    <t>T0128</t>
  </si>
  <si>
    <t>2024-12-07</t>
  </si>
  <si>
    <t>T0129</t>
  </si>
  <si>
    <t>T0130</t>
  </si>
  <si>
    <t>2024-10-23</t>
  </si>
  <si>
    <t>T0131</t>
  </si>
  <si>
    <t>2024-06-29</t>
  </si>
  <si>
    <t>T0132</t>
  </si>
  <si>
    <t>2024-06-05</t>
  </si>
  <si>
    <t>T0133</t>
  </si>
  <si>
    <t>2024-12-06</t>
  </si>
  <si>
    <t>T0134</t>
  </si>
  <si>
    <t>T0135</t>
  </si>
  <si>
    <t>2024-09-04</t>
  </si>
  <si>
    <t>T0136</t>
  </si>
  <si>
    <t>2024-07-22</t>
  </si>
  <si>
    <t>T0137</t>
  </si>
  <si>
    <t>2024-05-24</t>
  </si>
  <si>
    <t>T0138</t>
  </si>
  <si>
    <t>2024-02-21</t>
  </si>
  <si>
    <t>T0139</t>
  </si>
  <si>
    <t>2024-10-19</t>
  </si>
  <si>
    <t>T0140</t>
  </si>
  <si>
    <t>2024-08-30</t>
  </si>
  <si>
    <t>T0141</t>
  </si>
  <si>
    <t>T0142</t>
  </si>
  <si>
    <t>T0143</t>
  </si>
  <si>
    <t>T0144</t>
  </si>
  <si>
    <t>2024-08-29</t>
  </si>
  <si>
    <t>T0145</t>
  </si>
  <si>
    <t>2024-11-17</t>
  </si>
  <si>
    <t>T0146</t>
  </si>
  <si>
    <t>2024-01-30</t>
  </si>
  <si>
    <t>T0147</t>
  </si>
  <si>
    <t>2024-01-07</t>
  </si>
  <si>
    <t>T0148</t>
  </si>
  <si>
    <t>2024-06-03</t>
  </si>
  <si>
    <t>T0149</t>
  </si>
  <si>
    <t>2024-07-14</t>
  </si>
  <si>
    <t>T0150</t>
  </si>
  <si>
    <t>T0151</t>
  </si>
  <si>
    <t>2024-04-27</t>
  </si>
  <si>
    <t>T0152</t>
  </si>
  <si>
    <t>2024-10-20</t>
  </si>
  <si>
    <t>T0153</t>
  </si>
  <si>
    <t>2024-06-08</t>
  </si>
  <si>
    <t>T0154</t>
  </si>
  <si>
    <t>2024-05-30</t>
  </si>
  <si>
    <t>T0155</t>
  </si>
  <si>
    <t>2024-02-23</t>
  </si>
  <si>
    <t>T0156</t>
  </si>
  <si>
    <t>T0157</t>
  </si>
  <si>
    <t>T0158</t>
  </si>
  <si>
    <t>T0159</t>
  </si>
  <si>
    <t>T0160</t>
  </si>
  <si>
    <t>2024-10-28</t>
  </si>
  <si>
    <t>T0161</t>
  </si>
  <si>
    <t>T0162</t>
  </si>
  <si>
    <t>T0163</t>
  </si>
  <si>
    <t>T0164</t>
  </si>
  <si>
    <t>2024-02-27</t>
  </si>
  <si>
    <t>T0165</t>
  </si>
  <si>
    <t>2024-05-27</t>
  </si>
  <si>
    <t>T0166</t>
  </si>
  <si>
    <t>2024-06-11</t>
  </si>
  <si>
    <t>T0167</t>
  </si>
  <si>
    <t>2024-08-17</t>
  </si>
  <si>
    <t>T0168</t>
  </si>
  <si>
    <t>2024-10-15</t>
  </si>
  <si>
    <t>T0169</t>
  </si>
  <si>
    <t>T0170</t>
  </si>
  <si>
    <t>2024-03-08</t>
  </si>
  <si>
    <t>T0171</t>
  </si>
  <si>
    <t>T0172</t>
  </si>
  <si>
    <t>2024-07-16</t>
  </si>
  <si>
    <t>T0173</t>
  </si>
  <si>
    <t>2024-01-14</t>
  </si>
  <si>
    <t>T0174</t>
  </si>
  <si>
    <t>2024-03-07</t>
  </si>
  <si>
    <t>T0175</t>
  </si>
  <si>
    <t>T0176</t>
  </si>
  <si>
    <t>2024-02-04</t>
  </si>
  <si>
    <t>T0177</t>
  </si>
  <si>
    <t>T0178</t>
  </si>
  <si>
    <t>2024-09-20</t>
  </si>
  <si>
    <t>T0179</t>
  </si>
  <si>
    <t>2024-11-21</t>
  </si>
  <si>
    <t>T0180</t>
  </si>
  <si>
    <t>T0181</t>
  </si>
  <si>
    <t>T0182</t>
  </si>
  <si>
    <t>T0183</t>
  </si>
  <si>
    <t>2024-05-21</t>
  </si>
  <si>
    <t>T0184</t>
  </si>
  <si>
    <t>2024-03-28</t>
  </si>
  <si>
    <t>T0185</t>
  </si>
  <si>
    <t>2024-06-12</t>
  </si>
  <si>
    <t>T0186</t>
  </si>
  <si>
    <t>2024-03-03</t>
  </si>
  <si>
    <t>T0187</t>
  </si>
  <si>
    <t>T0188</t>
  </si>
  <si>
    <t>2024-08-03</t>
  </si>
  <si>
    <t>T0189</t>
  </si>
  <si>
    <t>T0190</t>
  </si>
  <si>
    <t>2024-08-06</t>
  </si>
  <si>
    <t>T0191</t>
  </si>
  <si>
    <t>2024-01-04</t>
  </si>
  <si>
    <t>T0192</t>
  </si>
  <si>
    <t>2024-01-16</t>
  </si>
  <si>
    <t>T0193</t>
  </si>
  <si>
    <t>T0194</t>
  </si>
  <si>
    <t>2024-03-15</t>
  </si>
  <si>
    <t>T0195</t>
  </si>
  <si>
    <t>2024-04-04</t>
  </si>
  <si>
    <t>T0196</t>
  </si>
  <si>
    <t>T0197</t>
  </si>
  <si>
    <t>2024-01-08</t>
  </si>
  <si>
    <t>T0198</t>
  </si>
  <si>
    <t>T0199</t>
  </si>
  <si>
    <t>2024-10-17</t>
  </si>
  <si>
    <t>T0200</t>
  </si>
  <si>
    <t>Female</t>
  </si>
  <si>
    <t>Male</t>
  </si>
  <si>
    <t>Date And Time Function</t>
  </si>
  <si>
    <t>Now</t>
  </si>
  <si>
    <t>Today</t>
  </si>
  <si>
    <t>EOMonth</t>
  </si>
  <si>
    <t>Conditional Formatting</t>
  </si>
  <si>
    <t>Top 10 Highest Final Price Highlighted with Red</t>
  </si>
  <si>
    <t>Bottom 10 Lowest Final Price Highlighted with Yellow</t>
  </si>
  <si>
    <t>Row Labels</t>
  </si>
  <si>
    <t>Grand Total</t>
  </si>
  <si>
    <t>Sum of FinalPrice</t>
  </si>
  <si>
    <t>VLOOKUP</t>
  </si>
  <si>
    <t>Average of FinalPrice</t>
  </si>
  <si>
    <t>Count of PaymentMode</t>
  </si>
  <si>
    <t>Count of UnitPrice</t>
  </si>
  <si>
    <t>DASHBOARD</t>
  </si>
  <si>
    <t>INDEX-MATCH</t>
  </si>
  <si>
    <t>IF - CONDITION</t>
  </si>
  <si>
    <t>SUM IF</t>
  </si>
  <si>
    <t>SUMIFS</t>
  </si>
  <si>
    <t>COUNTIF</t>
  </si>
  <si>
    <t>COUNTIFS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</si>
  <si>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</si>
  <si>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</si>
  <si>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</si>
  <si>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</si>
  <si>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</si>
  <si>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</si>
  <si>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</si>
  <si>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</si>
  <si>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</si>
  <si>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</si>
  <si>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</si>
  <si>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</si>
  <si>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</si>
  <si>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</si>
  <si>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</si>
  <si>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</si>
  <si>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</si>
  <si>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</si>
  <si>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</si>
  <si>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</si>
  <si>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</si>
  <si>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</si>
  <si>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</si>
  <si>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X Variable 1</t>
  </si>
  <si>
    <t>$K$2</t>
  </si>
  <si>
    <t>$K$3</t>
  </si>
  <si>
    <t>$K$4</t>
  </si>
  <si>
    <t>$P$4</t>
  </si>
  <si>
    <t>Best Price</t>
  </si>
  <si>
    <t>Created by GOPI on 26-11-2025</t>
  </si>
  <si>
    <t>Worst Price</t>
  </si>
  <si>
    <t>Created by GOPI on 26-11-2025
Modified by GOPI on 26-11-2025</t>
  </si>
  <si>
    <t>Expected Price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</si>
  <si>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</si>
  <si>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</si>
  <si>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</si>
  <si>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</si>
  <si>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</si>
  <si>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</si>
  <si>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</si>
  <si>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PIVOT TABLES</t>
  </si>
  <si>
    <t>SUM OF FINAL PRICE ON PRODUCTS</t>
  </si>
  <si>
    <t>COUNT OF UNIT PRICE PER CATEGORY</t>
  </si>
  <si>
    <t>COUNT BY PAYMENT-MODE ON PRODUCT</t>
  </si>
  <si>
    <t>AVERAGE OF FINAL PRICE BY REGION</t>
  </si>
  <si>
    <r>
      <t xml:space="preserve">SUMMARY :- </t>
    </r>
    <r>
      <rPr>
        <sz val="14"/>
        <color theme="1"/>
        <rFont val="Calibri"/>
        <family val="2"/>
        <scheme val="minor"/>
      </rPr>
      <t>In this practical work, I used several Excel tools to analyze and understand the sales dataset. I began by applying date and time functions such as NOW(), TODAY(), EOMONTH(), and DATEDIF() to make the sheet dynamic and automatically update important values. I then used conditional formatting to highlight the top 10 highest and bottom 10 lowest Final Prices, making it easier to identify key transactions at a glance. To retrieve and classify data efficiently, I used lookup formulas including VLOOKUP, INDEX and MATCH, IF, and nested IF statements. These helped in searching values based on Transaction IDs and categorizing sales based on conditions. I also performed What-If Analysis using Scenario Manager and Goal Seek to understand how changes in price and discount affect the final results. Using SUMIF and COUNTIF, I calculated category-wise totals and counts. PivotTables were created to summarize data such as total quantity sold by category, sales by region, and monthly sales performance. Finally, I carried out a simple linear regression using Quantity as the X-axis and Final Price as the Y-axis to observe the relationship between how quantity sold affects the final price. Overall, these Excel techniques helped me analyze data more accurately, make comparisons, visualize patterns, and understand the dataset in a clear and organized way.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</si>
</sst>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15" x14ac:knownFonts="1">
    <font>
      <sz val="11"/>
      <color theme="1"/>
      <name val="Calibri"/>
      <family val="2"/>
      <scheme val="minor"/>
    </font>
    <font>
      <b/>
      <sz val="11"/>
      <color theme="1"/>
      <name val="Calibri"/>
      <family val="2"/>
      <scheme val="minor"/>
    </font>
    <font>
      <b/>
      <sz val="11"/>
      <color theme="0"/>
      <name val="Calibri"/>
      <family val="2"/>
      <scheme val="minor"/>
    </font>
    <font>
      <b/>
      <sz val="26"/>
      <color theme="0" tint="-0.14999847407452621"/>
      <name val="Calibri"/>
      <family val="2"/>
      <scheme val="minor"/>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6"/>
      <color theme="0"/>
      <name val="Calibri"/>
      <family val="2"/>
      <scheme val="minor"/>
    </font>
    <font>
      <sz val="11"/>
      <color rgb="FF006100"/>
      <name val="Calibri"/>
      <family val="2"/>
      <scheme val="minor"/>
    </font>
    <font>
      <sz val="20"/>
      <color theme="1"/>
      <name val="Calibri"/>
      <family val="2"/>
      <scheme val="minor"/>
    </font>
    <font>
      <b/>
      <sz val="20"/>
      <color theme="1"/>
      <name val="Calibri"/>
      <family val="2"/>
      <scheme val="minor"/>
    </font>
    <font>
      <sz val="14"/>
      <color theme="1"/>
      <name val="Calibri"/>
      <family val="2"/>
      <scheme val="minor"/>
    </font>
  </fonts>
  <fills count="19">
    <fill>
      <patternFill patternType="none"/>
    </fill>
    <fill>
      <patternFill patternType="gray125"/>
    </fill>
    <fill>
      <patternFill patternType="solid">
        <fgColor rgb="FF1D5E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tint="0.59999389629810485"/>
        <bgColor indexed="64"/>
      </patternFill>
    </fill>
    <fill>
      <patternFill patternType="solid">
        <fgColor theme="8" tint="-0.499984740745262"/>
        <bgColor indexed="64"/>
      </patternFill>
    </fill>
    <fill>
      <patternFill patternType="solid">
        <fgColor rgb="FF002060"/>
        <bgColor indexed="64"/>
      </patternFill>
    </fill>
    <fill>
      <patternFill patternType="solid">
        <fgColor rgb="FFC6EFCE"/>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EB677A"/>
        <bgColor indexed="64"/>
      </patternFill>
    </fill>
    <fill>
      <patternFill patternType="solid">
        <fgColor rgb="FFF8C8CF"/>
        <bgColor indexed="64"/>
      </patternFill>
    </fill>
    <fill>
      <patternFill patternType="solid">
        <fgColor rgb="FF9D5593"/>
        <bgColor indexed="64"/>
      </patternFill>
    </fill>
    <fill>
      <patternFill patternType="solid">
        <fgColor rgb="FFD49CD4"/>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1" fillId="9" borderId="0" applyNumberFormat="0" applyBorder="0" applyAlignment="0" applyProtection="0"/>
  </cellStyleXfs>
  <cellXfs count="162">
    <xf numFmtId="0" fontId="0" fillId="0" borderId="0" xfId="0"/>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 fontId="0" fillId="0" borderId="10" xfId="0" applyNumberFormat="1" applyBorder="1" applyAlignment="1">
      <alignment horizontal="center" vertical="center"/>
    </xf>
    <xf numFmtId="1" fontId="0" fillId="0" borderId="9" xfId="0" applyNumberFormat="1" applyBorder="1" applyAlignment="1">
      <alignment horizontal="center" vertical="center"/>
    </xf>
    <xf numFmtId="1" fontId="0" fillId="0" borderId="11" xfId="0" applyNumberFormat="1" applyBorder="1" applyAlignment="1">
      <alignment horizontal="center" vertical="center"/>
    </xf>
    <xf numFmtId="1" fontId="0" fillId="0" borderId="0" xfId="0" applyNumberFormat="1"/>
    <xf numFmtId="164" fontId="0" fillId="0" borderId="10" xfId="0" applyNumberFormat="1" applyBorder="1" applyAlignment="1">
      <alignment horizontal="center" vertical="center"/>
    </xf>
    <xf numFmtId="164" fontId="0" fillId="0" borderId="9"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0" xfId="0" applyNumberFormat="1"/>
    <xf numFmtId="0" fontId="0" fillId="0" borderId="0" xfId="0" applyNumberFormat="1"/>
    <xf numFmtId="14" fontId="0" fillId="0" borderId="10" xfId="0" applyNumberFormat="1" applyBorder="1" applyAlignment="1">
      <alignment horizontal="center" vertical="center"/>
    </xf>
    <xf numFmtId="14" fontId="0" fillId="0" borderId="9" xfId="0" applyNumberFormat="1" applyBorder="1" applyAlignment="1">
      <alignment horizontal="center" vertical="center"/>
    </xf>
    <xf numFmtId="14" fontId="0" fillId="0" borderId="11" xfId="0" applyNumberFormat="1" applyBorder="1" applyAlignment="1">
      <alignment horizontal="center" vertical="center"/>
    </xf>
    <xf numFmtId="14" fontId="0" fillId="0" borderId="0" xfId="0" applyNumberFormat="1"/>
    <xf numFmtId="9" fontId="0" fillId="0" borderId="10" xfId="0" applyNumberFormat="1" applyBorder="1" applyAlignment="1">
      <alignment horizontal="center" vertical="center"/>
    </xf>
    <xf numFmtId="9" fontId="0" fillId="0" borderId="9" xfId="0" applyNumberFormat="1" applyBorder="1" applyAlignment="1">
      <alignment horizontal="center" vertical="center"/>
    </xf>
    <xf numFmtId="9" fontId="0" fillId="0" borderId="11" xfId="0" applyNumberFormat="1" applyBorder="1" applyAlignment="1">
      <alignment horizontal="center" vertical="center"/>
    </xf>
    <xf numFmtId="0" fontId="0" fillId="0" borderId="4" xfId="0" applyBorder="1"/>
    <xf numFmtId="0" fontId="0" fillId="0" borderId="5" xfId="0" applyBorder="1"/>
    <xf numFmtId="0" fontId="0" fillId="0" borderId="6" xfId="0" applyBorder="1"/>
    <xf numFmtId="0" fontId="0" fillId="0" borderId="8" xfId="0" applyBorder="1"/>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 fillId="0" borderId="18" xfId="0" applyFont="1" applyBorder="1" applyAlignment="1">
      <alignment horizontal="center" vertical="center"/>
    </xf>
    <xf numFmtId="1" fontId="1" fillId="0" borderId="19" xfId="0" applyNumberFormat="1" applyFont="1" applyBorder="1" applyAlignment="1">
      <alignment horizontal="center" vertical="center"/>
    </xf>
    <xf numFmtId="0" fontId="1" fillId="0" borderId="19" xfId="0" applyFont="1" applyBorder="1" applyAlignment="1">
      <alignment horizontal="center" vertical="center"/>
    </xf>
    <xf numFmtId="0" fontId="1" fillId="0" borderId="19" xfId="0" applyNumberFormat="1" applyFont="1" applyBorder="1" applyAlignment="1">
      <alignment horizontal="center" vertical="center"/>
    </xf>
    <xf numFmtId="164" fontId="1" fillId="0" borderId="19" xfId="0" applyNumberFormat="1" applyFont="1" applyBorder="1" applyAlignment="1">
      <alignment horizontal="center" vertical="center"/>
    </xf>
    <xf numFmtId="14" fontId="1" fillId="0" borderId="19" xfId="0" applyNumberFormat="1" applyFont="1" applyBorder="1" applyAlignment="1">
      <alignment horizontal="center" vertical="center"/>
    </xf>
    <xf numFmtId="0" fontId="1" fillId="0" borderId="20" xfId="0" applyFont="1" applyBorder="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0" fillId="0" borderId="9" xfId="0" applyBorder="1"/>
    <xf numFmtId="0" fontId="1" fillId="0" borderId="0" xfId="0" applyFont="1" applyAlignment="1"/>
    <xf numFmtId="0" fontId="0" fillId="0" borderId="0" xfId="0" applyFill="1" applyBorder="1" applyAlignment="1"/>
    <xf numFmtId="0" fontId="0" fillId="0" borderId="7" xfId="0" applyFill="1" applyBorder="1" applyAlignment="1"/>
    <xf numFmtId="0" fontId="0" fillId="0" borderId="21" xfId="0" applyFill="1" applyBorder="1" applyAlignment="1"/>
    <xf numFmtId="0" fontId="0" fillId="0" borderId="0" xfId="0" applyBorder="1"/>
    <xf numFmtId="0" fontId="0" fillId="0" borderId="5" xfId="0" applyFill="1" applyBorder="1" applyAlignment="1"/>
    <xf numFmtId="0" fontId="0" fillId="0" borderId="8" xfId="0" applyFill="1" applyBorder="1" applyAlignment="1"/>
    <xf numFmtId="0" fontId="5" fillId="3" borderId="28" xfId="0" applyFont="1" applyFill="1" applyBorder="1" applyAlignment="1">
      <alignment horizontal="left"/>
    </xf>
    <xf numFmtId="0" fontId="5" fillId="3" borderId="2" xfId="0" applyFont="1" applyFill="1" applyBorder="1" applyAlignment="1">
      <alignment horizontal="left"/>
    </xf>
    <xf numFmtId="0" fontId="6" fillId="4" borderId="0" xfId="0" applyFont="1" applyFill="1" applyBorder="1" applyAlignment="1">
      <alignment horizontal="left"/>
    </xf>
    <xf numFmtId="0" fontId="7" fillId="4" borderId="21" xfId="0" applyFont="1" applyFill="1" applyBorder="1" applyAlignment="1">
      <alignment horizontal="left"/>
    </xf>
    <xf numFmtId="0" fontId="6" fillId="4" borderId="7" xfId="0" applyFont="1" applyFill="1" applyBorder="1" applyAlignment="1">
      <alignment horizontal="left"/>
    </xf>
    <xf numFmtId="0" fontId="8" fillId="3" borderId="2" xfId="0" applyFont="1" applyFill="1" applyBorder="1" applyAlignment="1">
      <alignment horizontal="right"/>
    </xf>
    <xf numFmtId="0" fontId="8" fillId="3" borderId="28" xfId="0" applyFont="1" applyFill="1" applyBorder="1" applyAlignment="1">
      <alignment horizontal="right"/>
    </xf>
    <xf numFmtId="0" fontId="0" fillId="5" borderId="0" xfId="0" applyFill="1" applyBorder="1" applyAlignment="1"/>
    <xf numFmtId="0" fontId="9" fillId="0" borderId="0" xfId="0" applyFont="1" applyFill="1" applyBorder="1" applyAlignment="1">
      <alignment vertical="top" wrapText="1"/>
    </xf>
    <xf numFmtId="0" fontId="5" fillId="3" borderId="1" xfId="0" applyFont="1" applyFill="1" applyBorder="1" applyAlignment="1">
      <alignment horizontal="left"/>
    </xf>
    <xf numFmtId="0" fontId="8" fillId="3" borderId="3" xfId="0" applyFont="1" applyFill="1" applyBorder="1" applyAlignment="1">
      <alignment horizontal="right"/>
    </xf>
    <xf numFmtId="0" fontId="5" fillId="3" borderId="29" xfId="0" applyFont="1" applyFill="1" applyBorder="1" applyAlignment="1">
      <alignment horizontal="left"/>
    </xf>
    <xf numFmtId="0" fontId="8" fillId="3" borderId="30" xfId="0" applyFont="1" applyFill="1" applyBorder="1" applyAlignment="1">
      <alignment horizontal="right"/>
    </xf>
    <xf numFmtId="0" fontId="6" fillId="4" borderId="4" xfId="0" applyFont="1" applyFill="1" applyBorder="1" applyAlignment="1">
      <alignment horizontal="left"/>
    </xf>
    <xf numFmtId="0" fontId="9" fillId="0" borderId="5" xfId="0" applyFont="1" applyFill="1" applyBorder="1" applyAlignment="1">
      <alignment vertical="top" wrapText="1"/>
    </xf>
    <xf numFmtId="0" fontId="7" fillId="4" borderId="31" xfId="0" applyFont="1" applyFill="1" applyBorder="1" applyAlignment="1">
      <alignment horizontal="left"/>
    </xf>
    <xf numFmtId="0" fontId="0" fillId="0" borderId="32" xfId="0" applyFill="1" applyBorder="1" applyAlignment="1"/>
    <xf numFmtId="0" fontId="0" fillId="5" borderId="5" xfId="0" applyFill="1" applyBorder="1" applyAlignment="1"/>
    <xf numFmtId="0" fontId="6" fillId="4" borderId="6" xfId="0" applyFont="1" applyFill="1" applyBorder="1" applyAlignment="1">
      <alignment horizontal="left"/>
    </xf>
    <xf numFmtId="0" fontId="0" fillId="0" borderId="7" xfId="0" applyBorder="1"/>
    <xf numFmtId="0" fontId="0" fillId="6" borderId="0" xfId="0" applyFill="1"/>
    <xf numFmtId="0" fontId="0" fillId="8" borderId="0" xfId="0" applyFill="1"/>
    <xf numFmtId="0" fontId="0" fillId="6" borderId="4" xfId="0" applyFill="1" applyBorder="1" applyAlignment="1">
      <alignment vertical="center"/>
    </xf>
    <xf numFmtId="0" fontId="0" fillId="6" borderId="0" xfId="0" applyFill="1" applyBorder="1" applyAlignment="1">
      <alignment vertical="center"/>
    </xf>
    <xf numFmtId="0" fontId="0" fillId="6" borderId="5" xfId="0" applyFill="1" applyBorder="1" applyAlignment="1">
      <alignment vertical="center"/>
    </xf>
    <xf numFmtId="0" fontId="0" fillId="6" borderId="4" xfId="0" applyFill="1" applyBorder="1"/>
    <xf numFmtId="0" fontId="0" fillId="6" borderId="0" xfId="0" applyFill="1" applyBorder="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3" fillId="2" borderId="4"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0"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7" borderId="0"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8" borderId="1"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0" xfId="0" applyFont="1" applyFill="1" applyBorder="1" applyAlignment="1">
      <alignment horizontal="center" vertical="center"/>
    </xf>
    <xf numFmtId="0" fontId="2" fillId="8" borderId="5" xfId="0" applyFont="1" applyFill="1" applyBorder="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xf>
    <xf numFmtId="0" fontId="0" fillId="0" borderId="4" xfId="0" pivotButton="1" applyBorder="1"/>
    <xf numFmtId="0" fontId="0" fillId="0" borderId="0" xfId="0" pivotButton="1" applyBorder="1"/>
    <xf numFmtId="0" fontId="0" fillId="0" borderId="4" xfId="0" applyBorder="1" applyAlignment="1">
      <alignment horizontal="left"/>
    </xf>
    <xf numFmtId="0" fontId="0" fillId="0" borderId="0" xfId="0" applyNumberFormat="1" applyBorder="1"/>
    <xf numFmtId="0" fontId="0" fillId="0" borderId="0" xfId="0" applyBorder="1" applyAlignment="1">
      <alignment horizontal="left"/>
    </xf>
    <xf numFmtId="0" fontId="0" fillId="0" borderId="5" xfId="0" applyNumberFormat="1" applyBorder="1"/>
    <xf numFmtId="0" fontId="10" fillId="8" borderId="6"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 fillId="12" borderId="1" xfId="0" applyFont="1" applyFill="1" applyBorder="1" applyAlignment="1">
      <alignment horizontal="center" wrapText="1"/>
    </xf>
    <xf numFmtId="0" fontId="0" fillId="12" borderId="3" xfId="0" applyFill="1" applyBorder="1" applyAlignment="1">
      <alignment horizontal="center" wrapText="1"/>
    </xf>
    <xf numFmtId="0" fontId="0" fillId="13" borderId="9" xfId="0" applyFill="1" applyBorder="1" applyAlignment="1">
      <alignment horizontal="center" vertical="center" wrapText="1"/>
    </xf>
    <xf numFmtId="0" fontId="0" fillId="13" borderId="4" xfId="0" applyFill="1" applyBorder="1" applyAlignment="1">
      <alignment vertical="center"/>
    </xf>
    <xf numFmtId="0" fontId="0" fillId="13" borderId="0" xfId="0" applyFill="1" applyBorder="1" applyAlignment="1">
      <alignment vertical="center"/>
    </xf>
    <xf numFmtId="0" fontId="0" fillId="13" borderId="5" xfId="0" applyFill="1" applyBorder="1" applyAlignment="1">
      <alignment vertical="center"/>
    </xf>
    <xf numFmtId="0" fontId="0" fillId="13" borderId="6" xfId="0" applyFill="1" applyBorder="1" applyAlignment="1">
      <alignment vertical="center"/>
    </xf>
    <xf numFmtId="0" fontId="0" fillId="13" borderId="7" xfId="0" applyFill="1" applyBorder="1" applyAlignment="1">
      <alignment vertical="center"/>
    </xf>
    <xf numFmtId="0" fontId="0" fillId="13" borderId="8" xfId="0" applyFill="1" applyBorder="1" applyAlignment="1">
      <alignment vertical="center"/>
    </xf>
    <xf numFmtId="0" fontId="11" fillId="9" borderId="9" xfId="1" applyBorder="1" applyAlignment="1">
      <alignment horizontal="center" vertical="center" wrapText="1"/>
    </xf>
    <xf numFmtId="0" fontId="0" fillId="14" borderId="9" xfId="0" applyFont="1" applyFill="1" applyBorder="1" applyAlignment="1">
      <alignment vertical="center"/>
    </xf>
    <xf numFmtId="0" fontId="0" fillId="14" borderId="9" xfId="0" applyFill="1" applyBorder="1"/>
    <xf numFmtId="0" fontId="1" fillId="15" borderId="9" xfId="0" applyFont="1" applyFill="1" applyBorder="1" applyAlignment="1">
      <alignment horizontal="center" vertical="center"/>
    </xf>
    <xf numFmtId="0" fontId="0" fillId="15" borderId="9" xfId="0" applyFill="1" applyBorder="1" applyAlignment="1">
      <alignment horizontal="center" vertical="center"/>
    </xf>
    <xf numFmtId="0" fontId="1" fillId="15" borderId="9" xfId="0" applyFont="1" applyFill="1" applyBorder="1" applyAlignment="1">
      <alignment horizontal="center"/>
    </xf>
    <xf numFmtId="0" fontId="0" fillId="15" borderId="9" xfId="0" applyFill="1" applyBorder="1" applyAlignment="1">
      <alignment horizontal="center"/>
    </xf>
    <xf numFmtId="0" fontId="0" fillId="16" borderId="9" xfId="0" applyFill="1" applyBorder="1"/>
    <xf numFmtId="0" fontId="1" fillId="17" borderId="25" xfId="0" applyFont="1" applyFill="1" applyBorder="1" applyAlignment="1">
      <alignment horizontal="center"/>
    </xf>
    <xf numFmtId="0" fontId="1" fillId="17" borderId="26" xfId="0" applyFont="1" applyFill="1" applyBorder="1" applyAlignment="1">
      <alignment horizontal="center"/>
    </xf>
    <xf numFmtId="0" fontId="1" fillId="17" borderId="27" xfId="0" applyFont="1" applyFill="1" applyBorder="1" applyAlignment="1">
      <alignment horizontal="center"/>
    </xf>
    <xf numFmtId="0" fontId="0" fillId="18" borderId="4" xfId="0" applyFill="1" applyBorder="1"/>
    <xf numFmtId="0" fontId="0" fillId="18" borderId="0" xfId="0" applyFill="1" applyBorder="1"/>
    <xf numFmtId="0" fontId="0" fillId="18" borderId="5" xfId="0" applyFill="1" applyBorder="1"/>
    <xf numFmtId="0" fontId="4" fillId="18" borderId="23" xfId="0" applyFont="1" applyFill="1" applyBorder="1" applyAlignment="1">
      <alignment horizontal="centerContinuous"/>
    </xf>
    <xf numFmtId="0" fontId="4" fillId="18" borderId="24" xfId="0" applyFont="1" applyFill="1" applyBorder="1" applyAlignment="1">
      <alignment horizontal="centerContinuous"/>
    </xf>
    <xf numFmtId="0" fontId="0" fillId="18" borderId="4" xfId="0" applyFill="1" applyBorder="1" applyAlignment="1"/>
    <xf numFmtId="0" fontId="0" fillId="18" borderId="5" xfId="0" applyFill="1" applyBorder="1" applyAlignment="1"/>
    <xf numFmtId="0" fontId="0" fillId="18" borderId="6" xfId="0" applyFill="1" applyBorder="1" applyAlignment="1"/>
    <xf numFmtId="0" fontId="0" fillId="18" borderId="8" xfId="0" applyFill="1" applyBorder="1" applyAlignment="1"/>
    <xf numFmtId="0" fontId="4" fillId="18" borderId="23" xfId="0" applyFont="1" applyFill="1" applyBorder="1" applyAlignment="1">
      <alignment horizontal="center"/>
    </xf>
    <xf numFmtId="0" fontId="4" fillId="18" borderId="22" xfId="0" applyFont="1" applyFill="1" applyBorder="1" applyAlignment="1">
      <alignment horizontal="center"/>
    </xf>
    <xf numFmtId="0" fontId="4" fillId="18" borderId="24" xfId="0" applyFont="1" applyFill="1" applyBorder="1" applyAlignment="1">
      <alignment horizontal="center"/>
    </xf>
    <xf numFmtId="0" fontId="0" fillId="18" borderId="0" xfId="0" applyFill="1" applyBorder="1" applyAlignment="1"/>
    <xf numFmtId="0" fontId="0" fillId="18" borderId="7" xfId="0" applyFill="1" applyBorder="1" applyAlignment="1"/>
    <xf numFmtId="0" fontId="0" fillId="11" borderId="36" xfId="0" applyFill="1" applyBorder="1"/>
    <xf numFmtId="22" fontId="0" fillId="11" borderId="35" xfId="0" applyNumberFormat="1" applyFill="1" applyBorder="1"/>
    <xf numFmtId="14" fontId="0" fillId="11" borderId="35" xfId="0" applyNumberFormat="1" applyFill="1" applyBorder="1"/>
    <xf numFmtId="0" fontId="0" fillId="11" borderId="38" xfId="0" applyFill="1" applyBorder="1"/>
    <xf numFmtId="0" fontId="0" fillId="11" borderId="39" xfId="0" applyFill="1" applyBorder="1"/>
    <xf numFmtId="0" fontId="0" fillId="13" borderId="40" xfId="0" applyFill="1" applyBorder="1" applyAlignment="1">
      <alignment horizontal="center" vertical="center" wrapText="1"/>
    </xf>
    <xf numFmtId="0" fontId="0" fillId="13" borderId="41" xfId="0" applyFill="1" applyBorder="1" applyAlignment="1">
      <alignment horizontal="center" vertical="center" wrapText="1"/>
    </xf>
    <xf numFmtId="0" fontId="0" fillId="13" borderId="42" xfId="0" applyFill="1" applyBorder="1" applyAlignment="1">
      <alignment horizontal="center" vertical="center" wrapText="1"/>
    </xf>
    <xf numFmtId="0" fontId="0" fillId="13" borderId="36" xfId="0" applyFill="1" applyBorder="1" applyAlignment="1">
      <alignment horizontal="center" vertical="center" wrapText="1"/>
    </xf>
    <xf numFmtId="0" fontId="0" fillId="13" borderId="35" xfId="0" applyFill="1" applyBorder="1" applyAlignment="1">
      <alignment horizontal="center" vertical="center" wrapText="1"/>
    </xf>
    <xf numFmtId="0" fontId="1" fillId="10" borderId="37" xfId="0" applyFont="1" applyFill="1" applyBorder="1" applyAlignment="1">
      <alignment horizontal="center" vertical="center" wrapText="1"/>
    </xf>
    <xf numFmtId="0" fontId="1" fillId="10" borderId="33" xfId="0" applyFont="1" applyFill="1" applyBorder="1" applyAlignment="1">
      <alignment horizontal="center" vertical="center" wrapText="1"/>
    </xf>
    <xf numFmtId="0" fontId="1" fillId="10" borderId="34" xfId="0" applyFont="1" applyFill="1" applyBorder="1" applyAlignment="1">
      <alignment horizontal="center" vertical="center" wrapText="1"/>
    </xf>
  </cellXfs>
  <cellStyles count="2">
    <cellStyle name="Good" xfId="1" builtinId="26"/>
    <cellStyle name="Normal" xfId="0" builtinId="0"/>
  </cellStyles>
  <dxfs count="4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numFmt numFmtId="164"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rder>
    </dxf>
    <dxf>
      <border outline="0">
        <bottom style="medium">
          <color indexed="64"/>
        </bottom>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mruColors>
      <color rgb="FFD49CD4"/>
      <color rgb="FF9D5593"/>
      <color rgb="FFF8C8CF"/>
      <color rgb="FFEB67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[Gopi_ExcelBook.xlsx]PivotTables!PivotTable2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PivotTables!$C$4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PivotTables!$B$5:$B$9</c:f>
              <c:strCache>
                <c:ptCount val="4"/>
                <c:pt idx="0">
                  <c:v>Accessories</c:v>
                </c:pt>
                <c:pt idx="1">
                  <c:v>Electronics</c:v>
                </c:pt>
                <c:pt idx="2">
                  <c:v>Fashion</c:v>
                </c:pt>
                <c:pt idx="3">
                  <c:v>Home</c:v>
                </c:pt>
              </c:strCache>
            </c:strRef>
          </c:cat>
          <c:val>
            <c:numRef>
              <c:f>PivotTables!$C$5:$C$9</c:f>
              <c:numCache>
                <c:formatCode>General</c:formatCode>
                <c:ptCount val="4"/>
                <c:pt idx="0">
                  <c:v>2240292.3500000006</c:v>
                </c:pt>
                <c:pt idx="1">
                  <c:v>3333789.4000000004</c:v>
                </c:pt>
                <c:pt idx="2">
                  <c:v>1876558.5500000003</c:v>
                </c:pt>
                <c:pt idx="3">
                  <c:v>691266.45000000007</c:v>
                </c:pt>
              </c:numCache>
            </c:numRef>
          </c:val>
          <c:extLst>
            <c:ext xmlns:c16="http://schemas.microsoft.com/office/drawing/2014/chart" uri="{C3380CC4-5D6E-409C-BE32-E72D297353CC}">
              <c16:uniqueId val="{00000000-0471-4BD2-ADBA-CFE54BEEBEB4}"/>
            </c:ext>
          </c:extLst>
        </c:ser>
        <c:dLbls>
          <c:showLegendKey val="0"/>
          <c:showVal val="1"/>
          <c:showCatName val="0"/>
          <c:showSerName val="0"/>
          <c:showPercent val="0"/>
          <c:showBubbleSize val="0"/>
        </c:dLbls>
        <c:gapWidth val="150"/>
        <c:shape val="box"/>
        <c:axId val="616116432"/>
        <c:axId val="616117744"/>
        <c:axId val="0"/>
      </c:bar3DChart>
      <c:catAx>
        <c:axId val="61611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117744"/>
        <c:crosses val="autoZero"/>
        <c:auto val="1"/>
        <c:lblAlgn val="ctr"/>
        <c:lblOffset val="100"/>
        <c:noMultiLvlLbl val="0"/>
      </c:catAx>
      <c:valAx>
        <c:axId val="61611774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1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[Gopi_ExcelBook.xlsx]PivotTables!PivotTable7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lineChart>
        <c:grouping val="stacked"/>
        <c:varyColors val="0"/>
        <c:ser>
          <c:idx val="0"/>
          <c:order val="0"/>
          <c:tx>
            <c:strRef>
              <c:f>PivotTables!$O$4</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delete val="1"/>
          </c:dLbls>
          <c:cat>
            <c:strRef>
              <c:f>PivotTables!$N$5:$N$9</c:f>
              <c:strCache>
                <c:ptCount val="4"/>
                <c:pt idx="0">
                  <c:v>Accessories</c:v>
                </c:pt>
                <c:pt idx="1">
                  <c:v>Electronics</c:v>
                </c:pt>
                <c:pt idx="2">
                  <c:v>Fashion</c:v>
                </c:pt>
                <c:pt idx="3">
                  <c:v>Home</c:v>
                </c:pt>
              </c:strCache>
            </c:strRef>
          </c:cat>
          <c:val>
            <c:numRef>
              <c:f>PivotTables!$O$5:$O$9</c:f>
              <c:numCache>
                <c:formatCode>General</c:formatCode>
                <c:ptCount val="4"/>
                <c:pt idx="0">
                  <c:v>24</c:v>
                </c:pt>
                <c:pt idx="1">
                  <c:v>26</c:v>
                </c:pt>
                <c:pt idx="2">
                  <c:v>25</c:v>
                </c:pt>
                <c:pt idx="3">
                  <c:v>7</c:v>
                </c:pt>
              </c:numCache>
            </c:numRef>
          </c:val>
          <c:smooth val="0"/>
          <c:extLst>
            <c:ext xmlns:c16="http://schemas.microsoft.com/office/drawing/2014/chart" uri="{C3380CC4-5D6E-409C-BE32-E72D297353CC}">
              <c16:uniqueId val="{00000000-8346-47C0-B27C-94A7EF6A0748}"/>
            </c:ext>
          </c:extLst>
        </c:ser>
        <c:dLbls>
          <c:dLblPos val="ctr"/>
          <c:showLegendKey val="0"/>
          <c:showVal val="1"/>
          <c:showCatName val="0"/>
          <c:showSerName val="0"/>
          <c:showPercent val="0"/>
          <c:showBubbleSize val="0"/>
        </c:dLbls>
        <c:marker val="1"/>
        <c:smooth val="0"/>
        <c:axId val="616335056"/>
        <c:axId val="616335384"/>
      </c:lineChart>
      <c:catAx>
        <c:axId val="6163350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6335384"/>
        <c:crosses val="autoZero"/>
        <c:auto val="1"/>
        <c:lblAlgn val="ctr"/>
        <c:lblOffset val="100"/>
        <c:noMultiLvlLbl val="0"/>
      </c:catAx>
      <c:valAx>
        <c:axId val="6163353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633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[Gopi_ExcelBook.xlsx]PivotTables!PivotTable6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PivotTables!$K$4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PivotTables!$J$5:$J$13</c:f>
              <c:strCache>
                <c:ptCount val="8"/>
                <c:pt idx="0">
                  <c:v>Backpack</c:v>
                </c:pt>
                <c:pt idx="1">
                  <c:v>Headphones</c:v>
                </c:pt>
                <c:pt idx="2">
                  <c:v>Laptop</c:v>
                </c:pt>
                <c:pt idx="3">
                  <c:v>Mixer</c:v>
                </c:pt>
                <c:pt idx="4">
                  <c:v>Mobile</c:v>
                </c:pt>
                <c:pt idx="5">
                  <c:v>Shirt</c:v>
                </c:pt>
                <c:pt idx="6">
                  <c:v>Shoes</c:v>
                </c:pt>
                <c:pt idx="7">
                  <c:v>Watch</c:v>
                </c:pt>
              </c:strCache>
            </c:strRef>
          </c:cat>
          <c:val>
            <c:numRef>
              <c:f>PivotTables!$K$5:$K$13</c:f>
              <c:numCache>
                <c:formatCode>General</c:formatCode>
                <c:ptCount val="8"/>
                <c:pt idx="0">
                  <c:v>25</c:v>
                </c:pt>
                <c:pt idx="1">
                  <c:v>32</c:v>
                </c:pt>
                <c:pt idx="2">
                  <c:v>26</c:v>
                </c:pt>
                <c:pt idx="3">
                  <c:v>18</c:v>
                </c:pt>
                <c:pt idx="4">
                  <c:v>25</c:v>
                </c:pt>
                <c:pt idx="5">
                  <c:v>24</c:v>
                </c:pt>
                <c:pt idx="6">
                  <c:v>27</c:v>
                </c:pt>
                <c:pt idx="7">
                  <c:v>23</c:v>
                </c:pt>
              </c:numCache>
            </c:numRef>
          </c:val>
          <c:extLst>
            <c:ext xmlns:c16="http://schemas.microsoft.com/office/drawing/2014/chart" uri="{C3380CC4-5D6E-409C-BE32-E72D297353CC}">
              <c16:uniqueId val="{00000000-4BDF-4546-870C-C1C027434F2A}"/>
            </c:ext>
          </c:extLst>
        </c:ser>
        <c:dLbls>
          <c:showLegendKey val="0"/>
          <c:showVal val="1"/>
          <c:showCatName val="0"/>
          <c:showSerName val="0"/>
          <c:showPercent val="0"/>
          <c:showBubbleSize val="0"/>
        </c:dLbls>
        <c:gapWidth val="150"/>
        <c:shape val="box"/>
        <c:axId val="565651896"/>
        <c:axId val="576579904"/>
        <c:axId val="0"/>
      </c:bar3DChart>
      <c:catAx>
        <c:axId val="565651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579904"/>
        <c:crosses val="autoZero"/>
        <c:auto val="1"/>
        <c:lblAlgn val="ctr"/>
        <c:lblOffset val="100"/>
        <c:noMultiLvlLbl val="0"/>
      </c:catAx>
      <c:valAx>
        <c:axId val="5765799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5651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[Gopi_ExcelBook.xlsx]PivotTables!PivotTable5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s>
    <c:plotArea>
      <c:layout/>
      <c:pieChart>
        <c:varyColors val="1"/>
        <c:ser>
          <c:idx val="0"/>
          <c:order val="0"/>
          <c:tx>
            <c:strRef>
              <c:f>PivotTables!$G$4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2B-47DF-90F6-5B6F2E44EF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2B-47DF-90F6-5B6F2E44EF9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2B-47DF-90F6-5B6F2E44EF9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2B-47DF-90F6-5B6F2E44EF9E}"/>
              </c:ext>
            </c:extLst>
          </c:dPt>
          <c:cat>
            <c:strRef>
              <c:f>PivotTables!$F$5:$F$9</c:f>
              <c:strCache>
                <c:ptCount val="4"/>
                <c:pt idx="0">
                  <c:v>East</c:v>
                </c:pt>
                <c:pt idx="1">
                  <c:v>North</c:v>
                </c:pt>
                <c:pt idx="2">
                  <c:v>South</c:v>
                </c:pt>
                <c:pt idx="3">
                  <c:v>West</c:v>
                </c:pt>
              </c:strCache>
            </c:strRef>
          </c:cat>
          <c:val>
            <c:numRef>
              <c:f>PivotTables!$G$5:$G$9</c:f>
              <c:numCache>
                <c:formatCode>General</c:formatCode>
                <c:ptCount val="4"/>
                <c:pt idx="0">
                  <c:v>31413.793750000001</c:v>
                </c:pt>
                <c:pt idx="1">
                  <c:v>33311.73333333333</c:v>
                </c:pt>
                <c:pt idx="2">
                  <c:v>50378.75</c:v>
                </c:pt>
                <c:pt idx="3">
                  <c:v>19692.346428571425</c:v>
                </c:pt>
              </c:numCache>
            </c:numRef>
          </c:val>
          <c:extLst>
            <c:ext xmlns:c16="http://schemas.microsoft.com/office/drawing/2014/chart" uri="{C3380CC4-5D6E-409C-BE32-E72D297353CC}">
              <c16:uniqueId val="{00000008-882B-47DF-90F6-5B6F2E44EF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152400</xdr:colOff>
      <xdr:row>4</xdr:row>
      <xdr:rowOff>53340</xdr:rowOff>
    </xdr:from>
    <xdr:to>
      <xdr:col>9</xdr:col>
      <xdr:colOff>701040</xdr:colOff>
      <xdr:row>13</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00400" y="792480"/>
          <a:ext cx="3855720" cy="1638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188147</xdr:colOff>
      <xdr:row>4</xdr:row>
      <xdr:rowOff>169334</xdr:rowOff>
    </xdr:from>
    <xdr:to>
      <xdr:col>14</xdr:col>
      <xdr:colOff>376296</xdr:colOff>
      <xdr:row>24</xdr:row>
      <xdr:rowOff>18815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108093</xdr:colOff>
      <xdr:row>5</xdr:row>
      <xdr:rowOff>6586</xdr:rowOff>
    </xdr:from>
    <xdr:to>
      <xdr:col>4</xdr:col>
      <xdr:colOff>102448</xdr:colOff>
      <xdr:row>13</xdr:row>
      <xdr:rowOff>150520</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9574" y="1257771"/>
              <a:ext cx="1828800" cy="157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169332</xdr:colOff>
      <xdr:row>4</xdr:row>
      <xdr:rowOff>141111</xdr:rowOff>
    </xdr:from>
    <xdr:to>
      <xdr:col>25</xdr:col>
      <xdr:colOff>56444</xdr:colOff>
      <xdr:row>22</xdr:row>
      <xdr:rowOff>141111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310444</xdr:colOff>
      <xdr:row>29</xdr:row>
      <xdr:rowOff>56444</xdr:rowOff>
    </xdr:from>
    <xdr:to>
      <xdr:col>14</xdr:col>
      <xdr:colOff>188148</xdr:colOff>
      <xdr:row>48</xdr:row>
      <xdr:rowOff>84667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128788</xdr:colOff>
      <xdr:row>29</xdr:row>
      <xdr:rowOff>114019</xdr:rowOff>
    </xdr:from>
    <xdr:to>
      <xdr:col>4</xdr:col>
      <xdr:colOff>123143</xdr:colOff>
      <xdr:row>43</xdr:row>
      <xdr:rowOff>169335</xdr:rowOff>
    </xdr:to>
    <mc:AlternateContent xmlns:mc="http://schemas.openxmlformats.org/markup-compatibility/2006" xmlns:a14="http://schemas.microsoft.com/office/drawing/2010/main">
      <mc:Choice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40269" y="5664389"/>
              <a:ext cx="1828800" cy="2557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272814</xdr:colOff>
      <xdr:row>29</xdr:row>
      <xdr:rowOff>84667</xdr:rowOff>
    </xdr:from>
    <xdr:to>
      <xdr:col>28</xdr:col>
      <xdr:colOff>376296</xdr:colOff>
      <xdr:row>47</xdr:row>
      <xdr:rowOff>131704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113735</xdr:colOff>
      <xdr:row>29</xdr:row>
      <xdr:rowOff>98214</xdr:rowOff>
    </xdr:from>
    <xdr:to>
      <xdr:col>19</xdr:col>
      <xdr:colOff>108091</xdr:colOff>
      <xdr:row>39</xdr:row>
      <xdr:rowOff>1</xdr:rowOff>
    </xdr:to>
    <mc:AlternateContent xmlns:mc="http://schemas.openxmlformats.org/markup-compatibility/2006">
      <mc:Choice xmlns:a14="http://schemas.microsoft.com/office/drawing/2010/main" Requires="a14">
        <xdr:graphicFrame macro="">
          <xdr:nvGraphicFramePr>
            <xdr:cNvPr id="9" name="PaymentMode"/>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9897439" y="5657992"/>
              <a:ext cx="1828800" cy="1689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242428</xdr:colOff>
      <xdr:row>13</xdr:row>
      <xdr:rowOff>147415</xdr:rowOff>
    </xdr:from>
    <xdr:to>
      <xdr:col>28</xdr:col>
      <xdr:colOff>236784</xdr:colOff>
      <xdr:row>22</xdr:row>
      <xdr:rowOff>103481</xdr:rowOff>
    </xdr:to>
    <mc:AlternateContent xmlns:mc="http://schemas.openxmlformats.org/markup-compatibility/2006">
      <mc:Choice xmlns:a14="http://schemas.microsoft.com/office/drawing/2010/main"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529465" y="2828526"/>
              <a:ext cx="1828800" cy="1564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242712</xdr:colOff>
      <xdr:row>4</xdr:row>
      <xdr:rowOff>119475</xdr:rowOff>
    </xdr:from>
    <xdr:to>
      <xdr:col>28</xdr:col>
      <xdr:colOff>237068</xdr:colOff>
      <xdr:row>12</xdr:row>
      <xdr:rowOff>141113</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29749" y="1191919"/>
              <a:ext cx="1828800" cy="1451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OPI" refreshedDate="45987.508991782408" createdVersion="6" refreshedVersion="6" minRefreshableVersion="3" recordCount="200">
  <cacheSource type="worksheet">
    <worksheetSource name="Table3"/>
  </cacheSource>
  <cacheFields count="14">
    <cacheField name="TransactionID" numFmtId="0">
      <sharedItems/>
    </cacheField>
    <cacheField name="CustomerName" numFmtId="0">
      <sharedItems/>
    </cacheField>
    <cacheField name="Gender" numFmtId="0">
      <sharedItems count="4">
        <s v="Female"/>
        <s v="Male"/>
        <s v="M"/>
        <s v="F"/>
      </sharedItems>
    </cacheField>
    <cacheField name="Age" numFmtId="1">
      <sharedItems containsSemiMixedTypes="0" containsString="0" containsNumber="1" containsInteger="1" minValue="18" maxValue="60"/>
    </cacheField>
    <cacheField name="Product" numFmtId="0">
      <sharedItems count="8">
        <s v="Headphones"/>
        <s v="Laptop"/>
        <s v="Mobile"/>
        <s v="Shirt"/>
        <s v="Mixer"/>
        <s v="Watch"/>
        <s v="Backpack"/>
        <s v="Shoes"/>
      </sharedItems>
    </cacheField>
    <cacheField name="Category" numFmtId="0">
      <sharedItems count="4">
        <s v="Electronics"/>
        <s v="Fashion"/>
        <s v="Home"/>
        <s v="Accessories"/>
      </sharedItems>
    </cacheField>
    <cacheField name="Quantity" numFmtId="0">
      <sharedItems containsSemiMixedTypes="0" containsString="0" containsNumber="1" containsInteger="1" minValue="1" maxValue="5"/>
    </cacheField>
    <cacheField name="UnitPrice" numFmtId="164">
      <sharedItems containsSemiMixedTypes="0" containsString="0" containsNumber="1" containsInteger="1" minValue="679" maxValue="29988"/>
    </cacheField>
    <cacheField name="TotalPrice" numFmtId="164">
      <sharedItems containsSemiMixedTypes="0" containsString="0" containsNumber="1" containsInteger="1" minValue="750" maxValue="145810"/>
    </cacheField>
    <cacheField name="DiscountPercent" numFmtId="9">
      <sharedItems containsSemiMixedTypes="0" containsString="0" containsNumber="1" minValue="0" maxValue="0.2"/>
    </cacheField>
    <cacheField name="FinalPrice" numFmtId="164">
      <sharedItems containsSemiMixedTypes="0" containsString="0" containsNumber="1" minValue="675" maxValue="132164"/>
    </cacheField>
    <cacheField name="Date" numFmtId="14">
      <sharedItems/>
    </cacheField>
    <cacheField name="Region" numFmtId="0">
      <sharedItems count="4">
        <s v="South"/>
        <s v="East"/>
        <s v="West"/>
        <s v="North"/>
      </sharedItems>
    </cacheField>
    <cacheField name="PaymentMode" numFmtId="0">
      <sharedItems count="4">
        <s v="UPI"/>
        <s v="Card"/>
        <s v="Cash"/>
        <s v="NetBanki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T0001"/>
    <s v="Diya"/>
    <x v="0"/>
    <n v="46"/>
    <x v="0"/>
    <x v="0"/>
    <n v="2"/>
    <n v="8422"/>
    <n v="16844"/>
    <n v="0.05"/>
    <n v="16001.8"/>
    <s v="2024-11-07"/>
    <x v="0"/>
    <x v="0"/>
  </r>
  <r>
    <s v="T0002"/>
    <s v="Kabir"/>
    <x v="1"/>
    <n v="44"/>
    <x v="1"/>
    <x v="0"/>
    <n v="4"/>
    <n v="10768"/>
    <n v="43072"/>
    <n v="0.15"/>
    <n v="36611.199999999997"/>
    <s v="2024-06-19"/>
    <x v="1"/>
    <x v="1"/>
  </r>
  <r>
    <s v="T0003"/>
    <s v="Diya"/>
    <x v="0"/>
    <n v="28"/>
    <x v="2"/>
    <x v="0"/>
    <n v="1"/>
    <n v="24016"/>
    <n v="24016"/>
    <n v="0.15"/>
    <n v="20413.599999999999"/>
    <s v="2024-12-16"/>
    <x v="1"/>
    <x v="2"/>
  </r>
  <r>
    <s v="T0004"/>
    <s v="Aisha"/>
    <x v="0"/>
    <n v="56"/>
    <x v="0"/>
    <x v="0"/>
    <n v="5"/>
    <n v="9873"/>
    <n v="49365"/>
    <n v="0.2"/>
    <n v="39492"/>
    <s v="2024-04-03"/>
    <x v="2"/>
    <x v="0"/>
  </r>
  <r>
    <s v="T0005"/>
    <s v="Diya"/>
    <x v="0"/>
    <n v="58"/>
    <x v="3"/>
    <x v="1"/>
    <n v="4"/>
    <n v="4657"/>
    <n v="18628"/>
    <n v="0.05"/>
    <n v="17696.599999999999"/>
    <s v="2024-06-19"/>
    <x v="1"/>
    <x v="3"/>
  </r>
  <r>
    <s v="T0006"/>
    <s v="Aisha"/>
    <x v="0"/>
    <n v="51"/>
    <x v="4"/>
    <x v="2"/>
    <n v="1"/>
    <n v="7249"/>
    <n v="7249"/>
    <n v="0.2"/>
    <n v="5799.2"/>
    <s v="2024-11-25"/>
    <x v="3"/>
    <x v="1"/>
  </r>
  <r>
    <s v="T0007"/>
    <s v="Kabir"/>
    <x v="1"/>
    <n v="50"/>
    <x v="5"/>
    <x v="3"/>
    <n v="4"/>
    <n v="17007"/>
    <n v="68028"/>
    <n v="0.2"/>
    <n v="54422.400000000001"/>
    <s v="2024-08-24"/>
    <x v="2"/>
    <x v="0"/>
  </r>
  <r>
    <s v="T0008"/>
    <s v="Siya"/>
    <x v="0"/>
    <n v="22"/>
    <x v="1"/>
    <x v="0"/>
    <n v="3"/>
    <n v="9112"/>
    <n v="27336"/>
    <n v="0.2"/>
    <n v="21868.799999999999"/>
    <s v="2024-09-14"/>
    <x v="1"/>
    <x v="3"/>
  </r>
  <r>
    <s v="T0009"/>
    <s v="Aarav"/>
    <x v="1"/>
    <n v="18"/>
    <x v="1"/>
    <x v="0"/>
    <n v="4"/>
    <n v="29615"/>
    <n v="118460"/>
    <n v="0.15"/>
    <n v="100691"/>
    <s v="2024-09-09"/>
    <x v="3"/>
    <x v="0"/>
  </r>
  <r>
    <s v="T0010"/>
    <s v="Diya"/>
    <x v="0"/>
    <n v="32"/>
    <x v="0"/>
    <x v="0"/>
    <n v="1"/>
    <n v="21295"/>
    <n v="21295"/>
    <n v="0.1"/>
    <n v="19165.5"/>
    <s v="2024-07-15"/>
    <x v="0"/>
    <x v="2"/>
  </r>
  <r>
    <s v="T0011"/>
    <s v="Diya"/>
    <x v="0"/>
    <n v="24"/>
    <x v="6"/>
    <x v="3"/>
    <n v="3"/>
    <n v="9220"/>
    <n v="27660"/>
    <n v="0"/>
    <n v="27660"/>
    <s v="2024-04-16"/>
    <x v="3"/>
    <x v="0"/>
  </r>
  <r>
    <s v="T0012"/>
    <s v="Siya"/>
    <x v="0"/>
    <n v="19"/>
    <x v="3"/>
    <x v="1"/>
    <n v="4"/>
    <n v="2088"/>
    <n v="8352"/>
    <n v="0.15"/>
    <n v="7099.2"/>
    <s v="2024-02-06"/>
    <x v="3"/>
    <x v="2"/>
  </r>
  <r>
    <s v="T0013"/>
    <s v="Aisha"/>
    <x v="0"/>
    <n v="42"/>
    <x v="5"/>
    <x v="3"/>
    <n v="5"/>
    <n v="1337"/>
    <n v="6685"/>
    <n v="0.15"/>
    <n v="5682.25"/>
    <s v="2024-06-02"/>
    <x v="0"/>
    <x v="3"/>
  </r>
  <r>
    <s v="T0014"/>
    <s v="Rohan"/>
    <x v="1"/>
    <n v="56"/>
    <x v="1"/>
    <x v="0"/>
    <n v="2"/>
    <n v="14114"/>
    <n v="28228"/>
    <n v="0.05"/>
    <n v="26816.6"/>
    <s v="2024-05-02"/>
    <x v="0"/>
    <x v="0"/>
  </r>
  <r>
    <s v="T0015"/>
    <s v="Meera"/>
    <x v="0"/>
    <n v="45"/>
    <x v="2"/>
    <x v="0"/>
    <n v="1"/>
    <n v="25590"/>
    <n v="25590"/>
    <n v="0.2"/>
    <n v="20472"/>
    <s v="2024-01-17"/>
    <x v="3"/>
    <x v="0"/>
  </r>
  <r>
    <s v="T0016"/>
    <s v="Meera"/>
    <x v="0"/>
    <n v="20"/>
    <x v="4"/>
    <x v="2"/>
    <n v="2"/>
    <n v="15682"/>
    <n v="31364"/>
    <n v="0.15"/>
    <n v="26659.4"/>
    <s v="2024-11-04"/>
    <x v="3"/>
    <x v="0"/>
  </r>
  <r>
    <s v="T0017"/>
    <s v="Kabir"/>
    <x v="1"/>
    <n v="29"/>
    <x v="6"/>
    <x v="3"/>
    <n v="5"/>
    <n v="16552"/>
    <n v="82760"/>
    <n v="0.15"/>
    <n v="70346"/>
    <s v="2024-05-18"/>
    <x v="1"/>
    <x v="0"/>
  </r>
  <r>
    <s v="T0018"/>
    <s v="Arjun"/>
    <x v="1"/>
    <n v="56"/>
    <x v="2"/>
    <x v="0"/>
    <n v="2"/>
    <n v="683"/>
    <n v="1366"/>
    <n v="0"/>
    <n v="1366"/>
    <s v="2024-03-18"/>
    <x v="1"/>
    <x v="0"/>
  </r>
  <r>
    <s v="T0019"/>
    <s v="Arjun"/>
    <x v="1"/>
    <n v="36"/>
    <x v="0"/>
    <x v="0"/>
    <n v="5"/>
    <n v="18553"/>
    <n v="92765"/>
    <n v="0"/>
    <n v="92765"/>
    <s v="2024-10-11"/>
    <x v="0"/>
    <x v="1"/>
  </r>
  <r>
    <s v="T0020"/>
    <s v="Vivaan"/>
    <x v="1"/>
    <n v="30"/>
    <x v="0"/>
    <x v="0"/>
    <n v="5"/>
    <n v="7205"/>
    <n v="36025"/>
    <n v="0.15"/>
    <n v="30621.25"/>
    <s v="2024-06-30"/>
    <x v="1"/>
    <x v="1"/>
  </r>
  <r>
    <s v="T0021"/>
    <s v="Vivaan"/>
    <x v="1"/>
    <n v="41"/>
    <x v="1"/>
    <x v="0"/>
    <n v="1"/>
    <n v="16364"/>
    <n v="16364"/>
    <n v="0.05"/>
    <n v="15545.8"/>
    <s v="2024-07-30"/>
    <x v="3"/>
    <x v="3"/>
  </r>
  <r>
    <s v="T0022"/>
    <s v="Aisha"/>
    <x v="0"/>
    <n v="32"/>
    <x v="5"/>
    <x v="3"/>
    <n v="2"/>
    <n v="26872"/>
    <n v="53744"/>
    <n v="0.05"/>
    <n v="51056.800000000003"/>
    <s v="2024-07-08"/>
    <x v="1"/>
    <x v="2"/>
  </r>
  <r>
    <s v="T0023"/>
    <s v="Kabir"/>
    <x v="1"/>
    <n v="48"/>
    <x v="0"/>
    <x v="0"/>
    <n v="3"/>
    <n v="8647"/>
    <n v="25941"/>
    <n v="0.15"/>
    <n v="22049.85"/>
    <s v="2024-01-29"/>
    <x v="0"/>
    <x v="2"/>
  </r>
  <r>
    <s v="T0024"/>
    <s v="Kabir"/>
    <x v="1"/>
    <n v="41"/>
    <x v="1"/>
    <x v="0"/>
    <n v="5"/>
    <n v="16273"/>
    <n v="81365"/>
    <n v="0.2"/>
    <n v="65092"/>
    <s v="2024-09-14"/>
    <x v="1"/>
    <x v="2"/>
  </r>
  <r>
    <s v="T0025"/>
    <s v="Siya"/>
    <x v="0"/>
    <n v="56"/>
    <x v="2"/>
    <x v="0"/>
    <n v="4"/>
    <n v="19593"/>
    <n v="78372"/>
    <n v="0.15"/>
    <n v="66616.2"/>
    <s v="2024-10-27"/>
    <x v="1"/>
    <x v="2"/>
  </r>
  <r>
    <s v="T0026"/>
    <s v="Pooja"/>
    <x v="0"/>
    <n v="21"/>
    <x v="0"/>
    <x v="0"/>
    <n v="4"/>
    <n v="14685"/>
    <n v="58740"/>
    <n v="0.15"/>
    <n v="49929"/>
    <s v="2024-10-04"/>
    <x v="1"/>
    <x v="0"/>
  </r>
  <r>
    <s v="T0027"/>
    <s v="Kabir"/>
    <x v="1"/>
    <n v="30"/>
    <x v="6"/>
    <x v="3"/>
    <n v="5"/>
    <n v="1407"/>
    <n v="7035"/>
    <n v="0"/>
    <n v="7035"/>
    <s v="2024-08-22"/>
    <x v="0"/>
    <x v="2"/>
  </r>
  <r>
    <s v="T0028"/>
    <s v="Aarav"/>
    <x v="1"/>
    <n v="57"/>
    <x v="5"/>
    <x v="3"/>
    <n v="1"/>
    <n v="21838"/>
    <n v="21838"/>
    <n v="0.1"/>
    <n v="19654.2"/>
    <s v="2024-09-01"/>
    <x v="1"/>
    <x v="2"/>
  </r>
  <r>
    <s v="T0029"/>
    <s v="Rohan"/>
    <x v="1"/>
    <n v="35"/>
    <x v="1"/>
    <x v="0"/>
    <n v="4"/>
    <n v="9084"/>
    <n v="36336"/>
    <n v="0.1"/>
    <n v="32702.400000000001"/>
    <s v="2024-11-09"/>
    <x v="2"/>
    <x v="1"/>
  </r>
  <r>
    <s v="T0030"/>
    <s v="Aarav"/>
    <x v="1"/>
    <n v="49"/>
    <x v="2"/>
    <x v="0"/>
    <n v="5"/>
    <n v="25063"/>
    <n v="125315"/>
    <n v="0.05"/>
    <n v="119049.25"/>
    <s v="2024-12-27"/>
    <x v="2"/>
    <x v="3"/>
  </r>
  <r>
    <s v="T0031"/>
    <s v="Siya"/>
    <x v="0"/>
    <n v="25"/>
    <x v="5"/>
    <x v="3"/>
    <n v="4"/>
    <n v="24832"/>
    <n v="99328"/>
    <n v="0.05"/>
    <n v="94361.600000000006"/>
    <s v="2024-08-24"/>
    <x v="3"/>
    <x v="0"/>
  </r>
  <r>
    <s v="T0032"/>
    <s v="Siya"/>
    <x v="0"/>
    <n v="32"/>
    <x v="0"/>
    <x v="0"/>
    <n v="1"/>
    <n v="6647"/>
    <n v="6647"/>
    <n v="0"/>
    <n v="6647"/>
    <s v="2024-09-06"/>
    <x v="2"/>
    <x v="2"/>
  </r>
  <r>
    <s v="T0033"/>
    <s v="Aarav"/>
    <x v="1"/>
    <n v="33"/>
    <x v="1"/>
    <x v="0"/>
    <n v="1"/>
    <n v="15009"/>
    <n v="15009"/>
    <n v="0"/>
    <n v="15009"/>
    <s v="2024-08-21"/>
    <x v="0"/>
    <x v="2"/>
  </r>
  <r>
    <s v="T0034"/>
    <s v="Vivaan"/>
    <x v="1"/>
    <n v="46"/>
    <x v="2"/>
    <x v="0"/>
    <n v="3"/>
    <n v="7993"/>
    <n v="23979"/>
    <n v="0.05"/>
    <n v="22780.05"/>
    <s v="2024-02-20"/>
    <x v="2"/>
    <x v="3"/>
  </r>
  <r>
    <s v="T0035"/>
    <s v="Pooja"/>
    <x v="0"/>
    <n v="42"/>
    <x v="4"/>
    <x v="2"/>
    <n v="2"/>
    <n v="1799"/>
    <n v="3598"/>
    <n v="0.1"/>
    <n v="3238.2"/>
    <s v="2024-09-08"/>
    <x v="1"/>
    <x v="2"/>
  </r>
  <r>
    <s v="T0036"/>
    <s v="Arjun"/>
    <x v="1"/>
    <n v="57"/>
    <x v="5"/>
    <x v="3"/>
    <n v="5"/>
    <n v="26293"/>
    <n v="131465"/>
    <n v="0.05"/>
    <n v="124891.75"/>
    <s v="2024-07-15"/>
    <x v="0"/>
    <x v="2"/>
  </r>
  <r>
    <s v="T0037"/>
    <s v="Aisha"/>
    <x v="0"/>
    <n v="51"/>
    <x v="3"/>
    <x v="1"/>
    <n v="4"/>
    <n v="8813"/>
    <n v="35252"/>
    <n v="0.2"/>
    <n v="28201.599999999999"/>
    <s v="2024-12-01"/>
    <x v="3"/>
    <x v="3"/>
  </r>
  <r>
    <s v="T0038"/>
    <s v="Siya"/>
    <x v="0"/>
    <n v="59"/>
    <x v="0"/>
    <x v="0"/>
    <n v="5"/>
    <n v="24450"/>
    <n v="122250"/>
    <n v="0.1"/>
    <n v="110025"/>
    <s v="2024-01-27"/>
    <x v="2"/>
    <x v="3"/>
  </r>
  <r>
    <s v="T0039"/>
    <s v="Kabir"/>
    <x v="1"/>
    <n v="41"/>
    <x v="4"/>
    <x v="2"/>
    <n v="5"/>
    <n v="9016"/>
    <n v="45080"/>
    <n v="0.05"/>
    <n v="42826"/>
    <s v="2024-01-25"/>
    <x v="3"/>
    <x v="3"/>
  </r>
  <r>
    <s v="T0040"/>
    <s v="Diya"/>
    <x v="0"/>
    <n v="47"/>
    <x v="6"/>
    <x v="3"/>
    <n v="1"/>
    <n v="14298"/>
    <n v="14298"/>
    <n v="0.15"/>
    <n v="12153.3"/>
    <s v="2024-07-15"/>
    <x v="2"/>
    <x v="1"/>
  </r>
  <r>
    <s v="T0041"/>
    <s v="Arjun"/>
    <x v="2"/>
    <n v="51"/>
    <x v="3"/>
    <x v="1"/>
    <n v="3"/>
    <n v="2331"/>
    <n v="6993"/>
    <n v="0.2"/>
    <n v="5594.4"/>
    <s v="2024-02-13"/>
    <x v="3"/>
    <x v="0"/>
  </r>
  <r>
    <s v="T0042"/>
    <s v="Aarav"/>
    <x v="2"/>
    <n v="29"/>
    <x v="1"/>
    <x v="0"/>
    <n v="3"/>
    <n v="19966"/>
    <n v="59898"/>
    <n v="0.2"/>
    <n v="47918.400000000001"/>
    <s v="2024-02-24"/>
    <x v="3"/>
    <x v="3"/>
  </r>
  <r>
    <s v="T0043"/>
    <s v="Rohan"/>
    <x v="2"/>
    <n v="20"/>
    <x v="3"/>
    <x v="1"/>
    <n v="5"/>
    <n v="3613"/>
    <n v="18065"/>
    <n v="0.15"/>
    <n v="15355.25"/>
    <s v="2024-11-25"/>
    <x v="0"/>
    <x v="2"/>
  </r>
  <r>
    <s v="T0044"/>
    <s v="Diya"/>
    <x v="3"/>
    <n v="26"/>
    <x v="5"/>
    <x v="3"/>
    <n v="5"/>
    <n v="13870"/>
    <n v="69350"/>
    <n v="0.1"/>
    <n v="62415"/>
    <s v="2024-01-18"/>
    <x v="3"/>
    <x v="1"/>
  </r>
  <r>
    <s v="T0045"/>
    <s v="Aisha"/>
    <x v="3"/>
    <n v="57"/>
    <x v="3"/>
    <x v="1"/>
    <n v="3"/>
    <n v="8496"/>
    <n v="25488"/>
    <n v="0.1"/>
    <n v="22939.200000000001"/>
    <s v="2024-04-30"/>
    <x v="2"/>
    <x v="1"/>
  </r>
  <r>
    <s v="T0046"/>
    <s v="Vivaan"/>
    <x v="2"/>
    <n v="26"/>
    <x v="7"/>
    <x v="1"/>
    <n v="3"/>
    <n v="24180"/>
    <n v="72540"/>
    <n v="0.2"/>
    <n v="58032"/>
    <s v="2024-06-02"/>
    <x v="0"/>
    <x v="0"/>
  </r>
  <r>
    <s v="T0047"/>
    <s v="Siya"/>
    <x v="3"/>
    <n v="24"/>
    <x v="7"/>
    <x v="1"/>
    <n v="3"/>
    <n v="11024"/>
    <n v="33072"/>
    <n v="0.2"/>
    <n v="26457.599999999999"/>
    <s v="2024-11-30"/>
    <x v="3"/>
    <x v="2"/>
  </r>
  <r>
    <s v="T0048"/>
    <s v="Aisha"/>
    <x v="3"/>
    <n v="60"/>
    <x v="7"/>
    <x v="1"/>
    <n v="3"/>
    <n v="6898"/>
    <n v="20694"/>
    <n v="0.1"/>
    <n v="18624.599999999999"/>
    <s v="2024-08-05"/>
    <x v="1"/>
    <x v="0"/>
  </r>
  <r>
    <s v="T0049"/>
    <s v="Rohan"/>
    <x v="2"/>
    <n v="43"/>
    <x v="4"/>
    <x v="2"/>
    <n v="3"/>
    <n v="9894"/>
    <n v="29682"/>
    <n v="0.2"/>
    <n v="23745.599999999999"/>
    <s v="2024-02-15"/>
    <x v="1"/>
    <x v="0"/>
  </r>
  <r>
    <s v="T0050"/>
    <s v="Aisha"/>
    <x v="3"/>
    <n v="57"/>
    <x v="6"/>
    <x v="3"/>
    <n v="5"/>
    <n v="24005"/>
    <n v="120025"/>
    <n v="0.2"/>
    <n v="96020"/>
    <s v="2024-04-20"/>
    <x v="1"/>
    <x v="0"/>
  </r>
  <r>
    <s v="T0051"/>
    <s v="Vivaan"/>
    <x v="2"/>
    <n v="51"/>
    <x v="3"/>
    <x v="1"/>
    <n v="2"/>
    <n v="20375"/>
    <n v="40750"/>
    <n v="0.15"/>
    <n v="34637.5"/>
    <s v="2024-03-22"/>
    <x v="1"/>
    <x v="3"/>
  </r>
  <r>
    <s v="T0052"/>
    <s v="Rohan"/>
    <x v="2"/>
    <n v="50"/>
    <x v="7"/>
    <x v="1"/>
    <n v="1"/>
    <n v="26853"/>
    <n v="26853"/>
    <n v="0"/>
    <n v="26853"/>
    <s v="2024-04-17"/>
    <x v="1"/>
    <x v="2"/>
  </r>
  <r>
    <s v="T0053"/>
    <s v="Meera"/>
    <x v="3"/>
    <n v="39"/>
    <x v="4"/>
    <x v="2"/>
    <n v="5"/>
    <n v="22819"/>
    <n v="114095"/>
    <n v="0"/>
    <n v="114095"/>
    <s v="2024-05-13"/>
    <x v="0"/>
    <x v="2"/>
  </r>
  <r>
    <s v="T0054"/>
    <s v="Aisha"/>
    <x v="3"/>
    <n v="35"/>
    <x v="3"/>
    <x v="1"/>
    <n v="5"/>
    <n v="10301"/>
    <n v="51505"/>
    <n v="0.05"/>
    <n v="48929.75"/>
    <s v="2024-01-03"/>
    <x v="1"/>
    <x v="3"/>
  </r>
  <r>
    <s v="T0055"/>
    <s v="Pooja"/>
    <x v="3"/>
    <n v="37"/>
    <x v="2"/>
    <x v="0"/>
    <n v="3"/>
    <n v="5784"/>
    <n v="17352"/>
    <n v="0.2"/>
    <n v="13881.6"/>
    <s v="2024-07-20"/>
    <x v="3"/>
    <x v="2"/>
  </r>
  <r>
    <s v="T0056"/>
    <s v="Aisha"/>
    <x v="3"/>
    <n v="21"/>
    <x v="0"/>
    <x v="0"/>
    <n v="5"/>
    <n v="19529"/>
    <n v="97645"/>
    <n v="0.15"/>
    <n v="82998.25"/>
    <s v="2024-10-14"/>
    <x v="1"/>
    <x v="3"/>
  </r>
  <r>
    <s v="T0057"/>
    <s v="Aarav"/>
    <x v="2"/>
    <n v="52"/>
    <x v="2"/>
    <x v="0"/>
    <n v="2"/>
    <n v="17504"/>
    <n v="35008"/>
    <n v="0.1"/>
    <n v="31507.200000000001"/>
    <s v="2024-04-01"/>
    <x v="2"/>
    <x v="3"/>
  </r>
  <r>
    <s v="T0058"/>
    <s v="Arjun"/>
    <x v="2"/>
    <n v="54"/>
    <x v="7"/>
    <x v="1"/>
    <n v="5"/>
    <n v="7946"/>
    <n v="39730"/>
    <n v="0"/>
    <n v="39730"/>
    <s v="2024-01-01"/>
    <x v="3"/>
    <x v="2"/>
  </r>
  <r>
    <s v="T0059"/>
    <s v="Arjun"/>
    <x v="2"/>
    <n v="32"/>
    <x v="7"/>
    <x v="1"/>
    <n v="3"/>
    <n v="3546"/>
    <n v="10638"/>
    <n v="0.2"/>
    <n v="8510.4"/>
    <s v="2024-05-01"/>
    <x v="2"/>
    <x v="1"/>
  </r>
  <r>
    <s v="T0060"/>
    <s v="Kabir"/>
    <x v="2"/>
    <n v="34"/>
    <x v="3"/>
    <x v="1"/>
    <n v="5"/>
    <n v="11976"/>
    <n v="59880"/>
    <n v="0.05"/>
    <n v="56886"/>
    <s v="2024-05-23"/>
    <x v="1"/>
    <x v="2"/>
  </r>
  <r>
    <s v="T0061"/>
    <s v="Aisha"/>
    <x v="3"/>
    <n v="50"/>
    <x v="6"/>
    <x v="3"/>
    <n v="3"/>
    <n v="8161"/>
    <n v="24483"/>
    <n v="0.2"/>
    <n v="19586.400000000001"/>
    <s v="2024-11-08"/>
    <x v="3"/>
    <x v="3"/>
  </r>
  <r>
    <s v="T0062"/>
    <s v="Meera"/>
    <x v="3"/>
    <n v="58"/>
    <x v="3"/>
    <x v="1"/>
    <n v="4"/>
    <n v="14742"/>
    <n v="58968"/>
    <n v="0.05"/>
    <n v="56019.6"/>
    <s v="2024-10-24"/>
    <x v="1"/>
    <x v="1"/>
  </r>
  <r>
    <s v="T0063"/>
    <s v="Siya"/>
    <x v="3"/>
    <n v="54"/>
    <x v="3"/>
    <x v="1"/>
    <n v="5"/>
    <n v="16023"/>
    <n v="80115"/>
    <n v="0.1"/>
    <n v="72103.5"/>
    <s v="2024-02-22"/>
    <x v="2"/>
    <x v="3"/>
  </r>
  <r>
    <s v="T0064"/>
    <s v="Vivaan"/>
    <x v="2"/>
    <n v="48"/>
    <x v="2"/>
    <x v="0"/>
    <n v="5"/>
    <n v="27248"/>
    <n v="136240"/>
    <n v="0.05"/>
    <n v="129428"/>
    <s v="2024-06-06"/>
    <x v="3"/>
    <x v="2"/>
  </r>
  <r>
    <s v="T0065"/>
    <s v="Meera"/>
    <x v="3"/>
    <n v="36"/>
    <x v="6"/>
    <x v="3"/>
    <n v="4"/>
    <n v="26075"/>
    <n v="104300"/>
    <n v="0.05"/>
    <n v="99085"/>
    <s v="2024-04-02"/>
    <x v="0"/>
    <x v="1"/>
  </r>
  <r>
    <s v="T0066"/>
    <s v="Vivaan"/>
    <x v="2"/>
    <n v="19"/>
    <x v="5"/>
    <x v="3"/>
    <n v="3"/>
    <n v="28922"/>
    <n v="86766"/>
    <n v="0.1"/>
    <n v="78089.399999999994"/>
    <s v="2024-07-24"/>
    <x v="3"/>
    <x v="2"/>
  </r>
  <r>
    <s v="T0067"/>
    <s v="Vivaan"/>
    <x v="2"/>
    <n v="21"/>
    <x v="1"/>
    <x v="0"/>
    <n v="4"/>
    <n v="11629"/>
    <n v="46516"/>
    <n v="0"/>
    <n v="46516"/>
    <s v="2024-01-03"/>
    <x v="0"/>
    <x v="2"/>
  </r>
  <r>
    <s v="T0068"/>
    <s v="Aarav"/>
    <x v="2"/>
    <n v="21"/>
    <x v="6"/>
    <x v="3"/>
    <n v="1"/>
    <n v="24388"/>
    <n v="24388"/>
    <n v="0.1"/>
    <n v="21949.200000000001"/>
    <s v="2024-08-26"/>
    <x v="0"/>
    <x v="2"/>
  </r>
  <r>
    <s v="T0069"/>
    <s v="Vivaan"/>
    <x v="2"/>
    <n v="41"/>
    <x v="3"/>
    <x v="1"/>
    <n v="1"/>
    <n v="7626"/>
    <n v="7626"/>
    <n v="0.15"/>
    <n v="6482.1"/>
    <s v="2024-06-13"/>
    <x v="2"/>
    <x v="3"/>
  </r>
  <r>
    <s v="T0070"/>
    <s v="Pooja"/>
    <x v="3"/>
    <n v="56"/>
    <x v="0"/>
    <x v="0"/>
    <n v="2"/>
    <n v="24767"/>
    <n v="49534"/>
    <n v="0.2"/>
    <n v="39627.199999999997"/>
    <s v="2024-12-24"/>
    <x v="0"/>
    <x v="3"/>
  </r>
  <r>
    <s v="T0071"/>
    <s v="Diya"/>
    <x v="3"/>
    <n v="37"/>
    <x v="2"/>
    <x v="0"/>
    <n v="1"/>
    <n v="1996"/>
    <n v="1996"/>
    <n v="0.15"/>
    <n v="1696.6"/>
    <s v="2024-11-27"/>
    <x v="1"/>
    <x v="1"/>
  </r>
  <r>
    <s v="T0072"/>
    <s v="Meera"/>
    <x v="3"/>
    <n v="60"/>
    <x v="7"/>
    <x v="1"/>
    <n v="5"/>
    <n v="6604"/>
    <n v="33020"/>
    <n v="0.15"/>
    <n v="28067"/>
    <s v="2024-03-19"/>
    <x v="0"/>
    <x v="2"/>
  </r>
  <r>
    <s v="T0073"/>
    <s v="Aisha"/>
    <x v="3"/>
    <n v="42"/>
    <x v="0"/>
    <x v="0"/>
    <n v="4"/>
    <n v="9861"/>
    <n v="39444"/>
    <n v="0.2"/>
    <n v="31555.200000000001"/>
    <s v="2024-05-04"/>
    <x v="3"/>
    <x v="0"/>
  </r>
  <r>
    <s v="T0074"/>
    <s v="Aarav"/>
    <x v="2"/>
    <n v="54"/>
    <x v="2"/>
    <x v="0"/>
    <n v="1"/>
    <n v="19458"/>
    <n v="19458"/>
    <n v="0.2"/>
    <n v="15566.4"/>
    <s v="2024-10-31"/>
    <x v="3"/>
    <x v="0"/>
  </r>
  <r>
    <s v="T0075"/>
    <s v="Aarav"/>
    <x v="2"/>
    <n v="26"/>
    <x v="1"/>
    <x v="0"/>
    <n v="4"/>
    <n v="28069"/>
    <n v="112276"/>
    <n v="0.15"/>
    <n v="95434.6"/>
    <s v="2024-06-02"/>
    <x v="1"/>
    <x v="3"/>
  </r>
  <r>
    <s v="T0076"/>
    <s v="Siya"/>
    <x v="3"/>
    <n v="22"/>
    <x v="4"/>
    <x v="2"/>
    <n v="5"/>
    <n v="19418"/>
    <n v="97090"/>
    <n v="0"/>
    <n v="97090"/>
    <s v="2024-04-21"/>
    <x v="3"/>
    <x v="0"/>
  </r>
  <r>
    <s v="T0077"/>
    <s v="Aarav"/>
    <x v="2"/>
    <n v="20"/>
    <x v="2"/>
    <x v="0"/>
    <n v="3"/>
    <n v="7343"/>
    <n v="22029"/>
    <n v="0"/>
    <n v="22029"/>
    <s v="2024-02-03"/>
    <x v="0"/>
    <x v="3"/>
  </r>
  <r>
    <s v="T0078"/>
    <s v="Arjun"/>
    <x v="2"/>
    <n v="35"/>
    <x v="1"/>
    <x v="0"/>
    <n v="1"/>
    <n v="13208"/>
    <n v="13208"/>
    <n v="0.05"/>
    <n v="12547.6"/>
    <s v="2024-06-13"/>
    <x v="2"/>
    <x v="0"/>
  </r>
  <r>
    <s v="T0079"/>
    <s v="Rohan"/>
    <x v="2"/>
    <n v="59"/>
    <x v="2"/>
    <x v="0"/>
    <n v="4"/>
    <n v="18835"/>
    <n v="75340"/>
    <n v="0.2"/>
    <n v="60272"/>
    <s v="2024-10-31"/>
    <x v="3"/>
    <x v="3"/>
  </r>
  <r>
    <s v="T0080"/>
    <s v="Meera"/>
    <x v="3"/>
    <n v="47"/>
    <x v="3"/>
    <x v="1"/>
    <n v="3"/>
    <n v="9840"/>
    <n v="29520"/>
    <n v="0.2"/>
    <n v="23616"/>
    <s v="2024-04-06"/>
    <x v="3"/>
    <x v="0"/>
  </r>
  <r>
    <s v="T0081"/>
    <s v="Rohan"/>
    <x v="2"/>
    <n v="23"/>
    <x v="4"/>
    <x v="2"/>
    <n v="5"/>
    <n v="679"/>
    <n v="3395"/>
    <n v="0"/>
    <n v="3395"/>
    <s v="2024-02-15"/>
    <x v="0"/>
    <x v="0"/>
  </r>
  <r>
    <s v="T0082"/>
    <s v="Aisha"/>
    <x v="3"/>
    <n v="22"/>
    <x v="6"/>
    <x v="3"/>
    <n v="4"/>
    <n v="29874"/>
    <n v="119496"/>
    <n v="0"/>
    <n v="119496"/>
    <s v="2024-11-05"/>
    <x v="3"/>
    <x v="3"/>
  </r>
  <r>
    <s v="T0083"/>
    <s v="Aisha"/>
    <x v="3"/>
    <n v="50"/>
    <x v="6"/>
    <x v="3"/>
    <n v="3"/>
    <n v="5337"/>
    <n v="16011"/>
    <n v="0.05"/>
    <n v="15210.45"/>
    <s v="2024-09-18"/>
    <x v="1"/>
    <x v="0"/>
  </r>
  <r>
    <s v="T0084"/>
    <s v="Aarav"/>
    <x v="2"/>
    <n v="58"/>
    <x v="0"/>
    <x v="0"/>
    <n v="2"/>
    <n v="15544"/>
    <n v="31088"/>
    <n v="0"/>
    <n v="31088"/>
    <s v="2024-05-19"/>
    <x v="1"/>
    <x v="0"/>
  </r>
  <r>
    <s v="T0085"/>
    <s v="Arjun"/>
    <x v="2"/>
    <n v="30"/>
    <x v="2"/>
    <x v="0"/>
    <n v="1"/>
    <n v="24377"/>
    <n v="24377"/>
    <n v="0.1"/>
    <n v="21939.3"/>
    <s v="2024-11-24"/>
    <x v="1"/>
    <x v="1"/>
  </r>
  <r>
    <s v="T0086"/>
    <s v="Aarav"/>
    <x v="2"/>
    <n v="42"/>
    <x v="5"/>
    <x v="3"/>
    <n v="4"/>
    <n v="10615"/>
    <n v="42460"/>
    <n v="0.1"/>
    <n v="38214"/>
    <s v="2024-08-16"/>
    <x v="2"/>
    <x v="3"/>
  </r>
  <r>
    <s v="T0087"/>
    <s v="Diya"/>
    <x v="3"/>
    <n v="27"/>
    <x v="0"/>
    <x v="0"/>
    <n v="1"/>
    <n v="750"/>
    <n v="750"/>
    <n v="0.1"/>
    <n v="675"/>
    <s v="2024-02-20"/>
    <x v="3"/>
    <x v="3"/>
  </r>
  <r>
    <s v="T0088"/>
    <s v="Aarav"/>
    <x v="2"/>
    <n v="25"/>
    <x v="6"/>
    <x v="3"/>
    <n v="5"/>
    <n v="16461"/>
    <n v="82305"/>
    <n v="0.05"/>
    <n v="78189.75"/>
    <s v="2024-08-10"/>
    <x v="2"/>
    <x v="0"/>
  </r>
  <r>
    <s v="T0089"/>
    <s v="Rohan"/>
    <x v="2"/>
    <n v="56"/>
    <x v="7"/>
    <x v="1"/>
    <n v="5"/>
    <n v="12078"/>
    <n v="60390"/>
    <n v="0.15"/>
    <n v="51331.5"/>
    <s v="2024-05-12"/>
    <x v="1"/>
    <x v="2"/>
  </r>
  <r>
    <s v="T0090"/>
    <s v="Meera"/>
    <x v="3"/>
    <n v="18"/>
    <x v="0"/>
    <x v="0"/>
    <n v="2"/>
    <n v="12994"/>
    <n v="25988"/>
    <n v="0.05"/>
    <n v="24688.6"/>
    <s v="2024-02-22"/>
    <x v="3"/>
    <x v="3"/>
  </r>
  <r>
    <s v="T0091"/>
    <s v="Vivaan"/>
    <x v="2"/>
    <n v="25"/>
    <x v="2"/>
    <x v="0"/>
    <n v="2"/>
    <n v="29988"/>
    <n v="59976"/>
    <n v="0.2"/>
    <n v="47980.800000000003"/>
    <s v="2024-07-24"/>
    <x v="2"/>
    <x v="0"/>
  </r>
  <r>
    <s v="T0092"/>
    <s v="Pooja"/>
    <x v="3"/>
    <n v="56"/>
    <x v="1"/>
    <x v="0"/>
    <n v="1"/>
    <n v="29557"/>
    <n v="29557"/>
    <n v="0.05"/>
    <n v="28079.15"/>
    <s v="2024-04-23"/>
    <x v="3"/>
    <x v="3"/>
  </r>
  <r>
    <s v="T0093"/>
    <s v="Meera"/>
    <x v="3"/>
    <n v="35"/>
    <x v="0"/>
    <x v="0"/>
    <n v="1"/>
    <n v="18814"/>
    <n v="18814"/>
    <n v="0.05"/>
    <n v="17873.3"/>
    <s v="2024-05-11"/>
    <x v="2"/>
    <x v="2"/>
  </r>
  <r>
    <s v="T0094"/>
    <s v="Aarav"/>
    <x v="2"/>
    <n v="53"/>
    <x v="2"/>
    <x v="0"/>
    <n v="3"/>
    <n v="6800"/>
    <n v="20400"/>
    <n v="0"/>
    <n v="20400"/>
    <s v="2024-01-15"/>
    <x v="1"/>
    <x v="2"/>
  </r>
  <r>
    <s v="T0095"/>
    <s v="Meera"/>
    <x v="3"/>
    <n v="49"/>
    <x v="4"/>
    <x v="2"/>
    <n v="1"/>
    <n v="6855"/>
    <n v="6855"/>
    <n v="0"/>
    <n v="6855"/>
    <s v="2024-10-25"/>
    <x v="0"/>
    <x v="3"/>
  </r>
  <r>
    <s v="T0096"/>
    <s v="Aisha"/>
    <x v="3"/>
    <n v="36"/>
    <x v="0"/>
    <x v="0"/>
    <n v="3"/>
    <n v="8974"/>
    <n v="26922"/>
    <n v="0.2"/>
    <n v="21537.599999999999"/>
    <s v="2024-05-16"/>
    <x v="3"/>
    <x v="0"/>
  </r>
  <r>
    <s v="T0097"/>
    <s v="Pooja"/>
    <x v="3"/>
    <n v="29"/>
    <x v="3"/>
    <x v="1"/>
    <n v="2"/>
    <n v="15369"/>
    <n v="30738"/>
    <n v="0.1"/>
    <n v="27664.2"/>
    <s v="2024-08-14"/>
    <x v="3"/>
    <x v="1"/>
  </r>
  <r>
    <s v="T0098"/>
    <s v="Kabir"/>
    <x v="2"/>
    <n v="45"/>
    <x v="2"/>
    <x v="0"/>
    <n v="3"/>
    <n v="11832"/>
    <n v="35496"/>
    <n v="0.2"/>
    <n v="28396.799999999999"/>
    <s v="2024-08-07"/>
    <x v="0"/>
    <x v="1"/>
  </r>
  <r>
    <s v="T0099"/>
    <s v="Vivaan"/>
    <x v="2"/>
    <n v="51"/>
    <x v="0"/>
    <x v="0"/>
    <n v="3"/>
    <n v="2863"/>
    <n v="8589"/>
    <n v="0.2"/>
    <n v="6871.2"/>
    <s v="2024-05-29"/>
    <x v="0"/>
    <x v="0"/>
  </r>
  <r>
    <s v="T0100"/>
    <s v="Diya"/>
    <x v="3"/>
    <n v="47"/>
    <x v="0"/>
    <x v="0"/>
    <n v="3"/>
    <n v="11471"/>
    <n v="34413"/>
    <n v="0.15"/>
    <n v="29251.05"/>
    <s v="2024-04-01"/>
    <x v="0"/>
    <x v="0"/>
  </r>
  <r>
    <s v="T0101"/>
    <s v="Siya"/>
    <x v="3"/>
    <n v="44"/>
    <x v="6"/>
    <x v="3"/>
    <n v="2"/>
    <n v="16484"/>
    <n v="32968"/>
    <n v="0.1"/>
    <n v="29671.200000000001"/>
    <s v="2024-09-14"/>
    <x v="0"/>
    <x v="2"/>
  </r>
  <r>
    <s v="T0102"/>
    <s v="Rohan"/>
    <x v="2"/>
    <n v="26"/>
    <x v="6"/>
    <x v="3"/>
    <n v="1"/>
    <n v="14965"/>
    <n v="14965"/>
    <n v="0"/>
    <n v="14965"/>
    <s v="2024-05-17"/>
    <x v="2"/>
    <x v="3"/>
  </r>
  <r>
    <s v="T0103"/>
    <s v="Vivaan"/>
    <x v="2"/>
    <n v="43"/>
    <x v="1"/>
    <x v="0"/>
    <n v="5"/>
    <n v="12488"/>
    <n v="62440"/>
    <n v="0.05"/>
    <n v="59318"/>
    <s v="2024-11-19"/>
    <x v="3"/>
    <x v="1"/>
  </r>
  <r>
    <s v="T0104"/>
    <s v="Aarav"/>
    <x v="2"/>
    <n v="47"/>
    <x v="2"/>
    <x v="0"/>
    <n v="4"/>
    <n v="25989"/>
    <n v="103956"/>
    <n v="0.1"/>
    <n v="93560.4"/>
    <s v="2024-08-22"/>
    <x v="3"/>
    <x v="0"/>
  </r>
  <r>
    <s v="T0105"/>
    <s v="Aarav"/>
    <x v="2"/>
    <n v="36"/>
    <x v="3"/>
    <x v="1"/>
    <n v="5"/>
    <n v="17009"/>
    <n v="85045"/>
    <n v="0.15"/>
    <n v="72288.25"/>
    <s v="2024-05-17"/>
    <x v="2"/>
    <x v="2"/>
  </r>
  <r>
    <s v="T0106"/>
    <s v="Aisha"/>
    <x v="3"/>
    <n v="27"/>
    <x v="0"/>
    <x v="0"/>
    <n v="4"/>
    <n v="14164"/>
    <n v="56656"/>
    <n v="0.15"/>
    <n v="48157.599999999999"/>
    <s v="2024-02-01"/>
    <x v="0"/>
    <x v="0"/>
  </r>
  <r>
    <s v="T0107"/>
    <s v="Vivaan"/>
    <x v="2"/>
    <n v="31"/>
    <x v="2"/>
    <x v="0"/>
    <n v="3"/>
    <n v="29638"/>
    <n v="88914"/>
    <n v="0.1"/>
    <n v="80022.600000000006"/>
    <s v="2024-01-26"/>
    <x v="3"/>
    <x v="2"/>
  </r>
  <r>
    <s v="T0108"/>
    <s v="Kabir"/>
    <x v="2"/>
    <n v="53"/>
    <x v="7"/>
    <x v="1"/>
    <n v="4"/>
    <n v="9221"/>
    <n v="36884"/>
    <n v="0"/>
    <n v="36884"/>
    <s v="2024-08-22"/>
    <x v="3"/>
    <x v="3"/>
  </r>
  <r>
    <s v="T0109"/>
    <s v="Aisha"/>
    <x v="3"/>
    <n v="51"/>
    <x v="0"/>
    <x v="0"/>
    <n v="3"/>
    <n v="29042"/>
    <n v="87126"/>
    <n v="0.05"/>
    <n v="82769.7"/>
    <s v="2024-03-04"/>
    <x v="3"/>
    <x v="2"/>
  </r>
  <r>
    <s v="T0110"/>
    <s v="Arjun"/>
    <x v="2"/>
    <n v="30"/>
    <x v="3"/>
    <x v="1"/>
    <n v="2"/>
    <n v="6457"/>
    <n v="12914"/>
    <n v="0.1"/>
    <n v="11622.6"/>
    <s v="2024-04-02"/>
    <x v="0"/>
    <x v="0"/>
  </r>
  <r>
    <s v="T0111"/>
    <s v="Diya"/>
    <x v="3"/>
    <n v="39"/>
    <x v="5"/>
    <x v="3"/>
    <n v="2"/>
    <n v="26477"/>
    <n v="52954"/>
    <n v="0.05"/>
    <n v="50306.3"/>
    <s v="2024-08-14"/>
    <x v="1"/>
    <x v="1"/>
  </r>
  <r>
    <s v="T0112"/>
    <s v="Kabir"/>
    <x v="2"/>
    <n v="40"/>
    <x v="6"/>
    <x v="3"/>
    <n v="5"/>
    <n v="1195"/>
    <n v="5975"/>
    <n v="0.15"/>
    <n v="5078.75"/>
    <s v="2024-09-16"/>
    <x v="3"/>
    <x v="0"/>
  </r>
  <r>
    <s v="T0113"/>
    <s v="Diya"/>
    <x v="3"/>
    <n v="41"/>
    <x v="1"/>
    <x v="0"/>
    <n v="1"/>
    <n v="8152"/>
    <n v="8152"/>
    <n v="0.1"/>
    <n v="7336.8"/>
    <s v="2024-04-17"/>
    <x v="2"/>
    <x v="1"/>
  </r>
  <r>
    <s v="T0114"/>
    <s v="Vivaan"/>
    <x v="2"/>
    <n v="51"/>
    <x v="4"/>
    <x v="2"/>
    <n v="3"/>
    <n v="17425"/>
    <n v="52275"/>
    <n v="0"/>
    <n v="52275"/>
    <s v="2024-12-26"/>
    <x v="2"/>
    <x v="3"/>
  </r>
  <r>
    <s v="T0115"/>
    <s v="Siya"/>
    <x v="3"/>
    <n v="35"/>
    <x v="5"/>
    <x v="3"/>
    <n v="5"/>
    <n v="25975"/>
    <n v="129875"/>
    <n v="0.1"/>
    <n v="116887.5"/>
    <s v="2024-12-28"/>
    <x v="3"/>
    <x v="3"/>
  </r>
  <r>
    <s v="T0116"/>
    <s v="Arjun"/>
    <x v="2"/>
    <n v="23"/>
    <x v="0"/>
    <x v="0"/>
    <n v="3"/>
    <n v="4745"/>
    <n v="14235"/>
    <n v="0.15"/>
    <n v="12099.75"/>
    <s v="2024-11-02"/>
    <x v="2"/>
    <x v="1"/>
  </r>
  <r>
    <s v="T0117"/>
    <s v="Kabir"/>
    <x v="2"/>
    <n v="43"/>
    <x v="7"/>
    <x v="1"/>
    <n v="4"/>
    <n v="4471"/>
    <n v="17884"/>
    <n v="0.2"/>
    <n v="14307.2"/>
    <s v="2024-12-27"/>
    <x v="2"/>
    <x v="1"/>
  </r>
  <r>
    <s v="T0118"/>
    <s v="Diya"/>
    <x v="3"/>
    <n v="29"/>
    <x v="5"/>
    <x v="3"/>
    <n v="1"/>
    <n v="11225"/>
    <n v="11225"/>
    <n v="0"/>
    <n v="11225"/>
    <s v="2024-06-22"/>
    <x v="1"/>
    <x v="0"/>
  </r>
  <r>
    <s v="T0119"/>
    <s v="Meera"/>
    <x v="3"/>
    <n v="28"/>
    <x v="6"/>
    <x v="3"/>
    <n v="3"/>
    <n v="12379"/>
    <n v="37137"/>
    <n v="0.1"/>
    <n v="33423.300000000003"/>
    <s v="2024-09-18"/>
    <x v="1"/>
    <x v="1"/>
  </r>
  <r>
    <s v="T0120"/>
    <s v="Aarav"/>
    <x v="2"/>
    <n v="52"/>
    <x v="6"/>
    <x v="3"/>
    <n v="3"/>
    <n v="21571"/>
    <n v="64713"/>
    <n v="0.2"/>
    <n v="51770.400000000001"/>
    <s v="2024-01-10"/>
    <x v="2"/>
    <x v="2"/>
  </r>
  <r>
    <s v="T0121"/>
    <s v="Aisha"/>
    <x v="3"/>
    <n v="21"/>
    <x v="3"/>
    <x v="1"/>
    <n v="1"/>
    <n v="14054"/>
    <n v="14054"/>
    <n v="0.2"/>
    <n v="11243.2"/>
    <s v="2024-01-15"/>
    <x v="3"/>
    <x v="3"/>
  </r>
  <r>
    <s v="T0122"/>
    <s v="Kabir"/>
    <x v="2"/>
    <n v="42"/>
    <x v="1"/>
    <x v="0"/>
    <n v="5"/>
    <n v="29162"/>
    <n v="145810"/>
    <n v="0.2"/>
    <n v="116648"/>
    <s v="2024-03-29"/>
    <x v="1"/>
    <x v="3"/>
  </r>
  <r>
    <s v="T0123"/>
    <s v="Aarav"/>
    <x v="2"/>
    <n v="20"/>
    <x v="7"/>
    <x v="1"/>
    <n v="2"/>
    <n v="2755"/>
    <n v="5510"/>
    <n v="0"/>
    <n v="5510"/>
    <s v="2024-11-11"/>
    <x v="3"/>
    <x v="1"/>
  </r>
  <r>
    <s v="T0124"/>
    <s v="Arjun"/>
    <x v="2"/>
    <n v="59"/>
    <x v="3"/>
    <x v="1"/>
    <n v="5"/>
    <n v="13429"/>
    <n v="67145"/>
    <n v="0"/>
    <n v="67145"/>
    <s v="2024-01-22"/>
    <x v="2"/>
    <x v="1"/>
  </r>
  <r>
    <s v="T0125"/>
    <s v="Diya"/>
    <x v="3"/>
    <n v="22"/>
    <x v="6"/>
    <x v="3"/>
    <n v="3"/>
    <n v="837"/>
    <n v="2511"/>
    <n v="0"/>
    <n v="2511"/>
    <s v="2024-09-19"/>
    <x v="3"/>
    <x v="0"/>
  </r>
  <r>
    <s v="T0126"/>
    <s v="Pooja"/>
    <x v="3"/>
    <n v="58"/>
    <x v="7"/>
    <x v="1"/>
    <n v="3"/>
    <n v="13463"/>
    <n v="40389"/>
    <n v="0.15"/>
    <n v="34330.65"/>
    <s v="2024-05-08"/>
    <x v="1"/>
    <x v="0"/>
  </r>
  <r>
    <s v="T0127"/>
    <s v="Siya"/>
    <x v="3"/>
    <n v="30"/>
    <x v="1"/>
    <x v="0"/>
    <n v="1"/>
    <n v="9923"/>
    <n v="9923"/>
    <n v="0.05"/>
    <n v="9426.85"/>
    <s v="2024-06-15"/>
    <x v="2"/>
    <x v="3"/>
  </r>
  <r>
    <s v="T0128"/>
    <s v="Meera"/>
    <x v="3"/>
    <n v="39"/>
    <x v="7"/>
    <x v="1"/>
    <n v="4"/>
    <n v="15699"/>
    <n v="62796"/>
    <n v="0.2"/>
    <n v="50236.800000000003"/>
    <s v="2024-12-07"/>
    <x v="1"/>
    <x v="0"/>
  </r>
  <r>
    <s v="T0129"/>
    <s v="Kabir"/>
    <x v="2"/>
    <n v="53"/>
    <x v="2"/>
    <x v="0"/>
    <n v="5"/>
    <n v="13462"/>
    <n v="67310"/>
    <n v="0.05"/>
    <n v="63944.5"/>
    <s v="2024-01-17"/>
    <x v="1"/>
    <x v="3"/>
  </r>
  <r>
    <s v="T0130"/>
    <s v="Kabir"/>
    <x v="2"/>
    <n v="19"/>
    <x v="6"/>
    <x v="3"/>
    <n v="4"/>
    <n v="11389"/>
    <n v="45556"/>
    <n v="0"/>
    <n v="45556"/>
    <s v="2024-10-23"/>
    <x v="3"/>
    <x v="3"/>
  </r>
  <r>
    <s v="T0131"/>
    <s v="Pooja"/>
    <x v="3"/>
    <n v="55"/>
    <x v="3"/>
    <x v="1"/>
    <n v="3"/>
    <n v="18093"/>
    <n v="54279"/>
    <n v="0.2"/>
    <n v="43423.199999999997"/>
    <s v="2024-06-29"/>
    <x v="0"/>
    <x v="0"/>
  </r>
  <r>
    <s v="T0132"/>
    <s v="Arjun"/>
    <x v="2"/>
    <n v="42"/>
    <x v="2"/>
    <x v="0"/>
    <n v="5"/>
    <n v="24545"/>
    <n v="122725"/>
    <n v="0.05"/>
    <n v="116588.75"/>
    <s v="2024-06-05"/>
    <x v="2"/>
    <x v="3"/>
  </r>
  <r>
    <s v="T0133"/>
    <s v="Meera"/>
    <x v="3"/>
    <n v="41"/>
    <x v="3"/>
    <x v="1"/>
    <n v="2"/>
    <n v="13880"/>
    <n v="27760"/>
    <n v="0.05"/>
    <n v="26372"/>
    <s v="2024-12-06"/>
    <x v="1"/>
    <x v="2"/>
  </r>
  <r>
    <s v="T0134"/>
    <s v="Kabir"/>
    <x v="2"/>
    <n v="32"/>
    <x v="2"/>
    <x v="0"/>
    <n v="5"/>
    <n v="3793"/>
    <n v="18965"/>
    <n v="0"/>
    <n v="18965"/>
    <s v="2024-02-03"/>
    <x v="0"/>
    <x v="3"/>
  </r>
  <r>
    <s v="T0135"/>
    <s v="Arjun"/>
    <x v="2"/>
    <n v="41"/>
    <x v="1"/>
    <x v="0"/>
    <n v="2"/>
    <n v="9991"/>
    <n v="19982"/>
    <n v="0.2"/>
    <n v="15985.6"/>
    <s v="2024-09-04"/>
    <x v="3"/>
    <x v="3"/>
  </r>
  <r>
    <s v="T0136"/>
    <s v="Aisha"/>
    <x v="3"/>
    <n v="47"/>
    <x v="1"/>
    <x v="0"/>
    <n v="3"/>
    <n v="5331"/>
    <n v="15993"/>
    <n v="0.15"/>
    <n v="13594.05"/>
    <s v="2024-07-22"/>
    <x v="0"/>
    <x v="2"/>
  </r>
  <r>
    <s v="T0137"/>
    <s v="Pooja"/>
    <x v="3"/>
    <n v="48"/>
    <x v="7"/>
    <x v="1"/>
    <n v="5"/>
    <n v="3696"/>
    <n v="18480"/>
    <n v="0"/>
    <n v="18480"/>
    <s v="2024-05-24"/>
    <x v="3"/>
    <x v="2"/>
  </r>
  <r>
    <s v="T0138"/>
    <s v="Pooja"/>
    <x v="3"/>
    <n v="46"/>
    <x v="5"/>
    <x v="3"/>
    <n v="2"/>
    <n v="27308"/>
    <n v="54616"/>
    <n v="0.15"/>
    <n v="46423.6"/>
    <s v="2024-02-21"/>
    <x v="1"/>
    <x v="3"/>
  </r>
  <r>
    <s v="T0139"/>
    <s v="Meera"/>
    <x v="3"/>
    <n v="24"/>
    <x v="5"/>
    <x v="3"/>
    <n v="5"/>
    <n v="1810"/>
    <n v="9050"/>
    <n v="0"/>
    <n v="9050"/>
    <s v="2024-10-19"/>
    <x v="3"/>
    <x v="0"/>
  </r>
  <r>
    <s v="T0140"/>
    <s v="Aarav"/>
    <x v="2"/>
    <n v="26"/>
    <x v="0"/>
    <x v="0"/>
    <n v="2"/>
    <n v="4896"/>
    <n v="9792"/>
    <n v="0.2"/>
    <n v="7833.6"/>
    <s v="2024-08-30"/>
    <x v="2"/>
    <x v="2"/>
  </r>
  <r>
    <s v="T0141"/>
    <s v="Siya"/>
    <x v="3"/>
    <n v="26"/>
    <x v="4"/>
    <x v="2"/>
    <n v="3"/>
    <n v="18379"/>
    <n v="55137"/>
    <n v="0.05"/>
    <n v="52380.15"/>
    <s v="2024-02-03"/>
    <x v="1"/>
    <x v="3"/>
  </r>
  <r>
    <s v="T0142"/>
    <s v="Rohan"/>
    <x v="2"/>
    <n v="41"/>
    <x v="5"/>
    <x v="3"/>
    <n v="4"/>
    <n v="1608"/>
    <n v="6432"/>
    <n v="0"/>
    <n v="6432"/>
    <s v="2024-05-02"/>
    <x v="2"/>
    <x v="1"/>
  </r>
  <r>
    <s v="T0143"/>
    <s v="Meera"/>
    <x v="3"/>
    <n v="49"/>
    <x v="0"/>
    <x v="0"/>
    <n v="2"/>
    <n v="13909"/>
    <n v="27818"/>
    <n v="0.1"/>
    <n v="25036.2"/>
    <s v="2024-04-03"/>
    <x v="0"/>
    <x v="1"/>
  </r>
  <r>
    <s v="T0144"/>
    <s v="Siya"/>
    <x v="3"/>
    <n v="36"/>
    <x v="3"/>
    <x v="1"/>
    <n v="1"/>
    <n v="7435"/>
    <n v="7435"/>
    <n v="0.05"/>
    <n v="7063.25"/>
    <s v="2024-08-29"/>
    <x v="2"/>
    <x v="1"/>
  </r>
  <r>
    <s v="T0145"/>
    <s v="Diya"/>
    <x v="3"/>
    <n v="24"/>
    <x v="5"/>
    <x v="3"/>
    <n v="2"/>
    <n v="29779"/>
    <n v="59558"/>
    <n v="0.1"/>
    <n v="53602.2"/>
    <s v="2024-11-17"/>
    <x v="3"/>
    <x v="1"/>
  </r>
  <r>
    <s v="T0146"/>
    <s v="Aarav"/>
    <x v="2"/>
    <n v="56"/>
    <x v="5"/>
    <x v="3"/>
    <n v="4"/>
    <n v="18845"/>
    <n v="75380"/>
    <n v="0.2"/>
    <n v="60304"/>
    <s v="2024-01-30"/>
    <x v="2"/>
    <x v="3"/>
  </r>
  <r>
    <s v="T0147"/>
    <s v="Diya"/>
    <x v="3"/>
    <n v="57"/>
    <x v="7"/>
    <x v="1"/>
    <n v="2"/>
    <n v="15382"/>
    <n v="30764"/>
    <n v="0"/>
    <n v="30764"/>
    <s v="2024-01-07"/>
    <x v="3"/>
    <x v="0"/>
  </r>
  <r>
    <s v="T0148"/>
    <s v="Rohan"/>
    <x v="2"/>
    <n v="34"/>
    <x v="1"/>
    <x v="0"/>
    <n v="2"/>
    <n v="28319"/>
    <n v="56638"/>
    <n v="0.05"/>
    <n v="53806.1"/>
    <s v="2024-06-03"/>
    <x v="2"/>
    <x v="2"/>
  </r>
  <r>
    <s v="T0149"/>
    <s v="Kabir"/>
    <x v="2"/>
    <n v="59"/>
    <x v="7"/>
    <x v="1"/>
    <n v="5"/>
    <n v="5188"/>
    <n v="25940"/>
    <n v="0"/>
    <n v="25940"/>
    <s v="2024-07-14"/>
    <x v="2"/>
    <x v="1"/>
  </r>
  <r>
    <s v="T0150"/>
    <s v="Pooja"/>
    <x v="3"/>
    <n v="33"/>
    <x v="6"/>
    <x v="3"/>
    <n v="2"/>
    <n v="14079"/>
    <n v="28158"/>
    <n v="0"/>
    <n v="28158"/>
    <s v="2024-01-25"/>
    <x v="3"/>
    <x v="1"/>
  </r>
  <r>
    <s v="T0151"/>
    <s v="Pooja"/>
    <x v="3"/>
    <n v="37"/>
    <x v="1"/>
    <x v="0"/>
    <n v="3"/>
    <n v="8593"/>
    <n v="25779"/>
    <n v="0.2"/>
    <n v="20623.2"/>
    <s v="2024-04-27"/>
    <x v="2"/>
    <x v="1"/>
  </r>
  <r>
    <s v="T0152"/>
    <s v="Arjun"/>
    <x v="2"/>
    <n v="25"/>
    <x v="4"/>
    <x v="2"/>
    <n v="2"/>
    <n v="8397"/>
    <n v="16794"/>
    <n v="0"/>
    <n v="16794"/>
    <s v="2024-10-20"/>
    <x v="3"/>
    <x v="1"/>
  </r>
  <r>
    <s v="T0153"/>
    <s v="Kabir"/>
    <x v="2"/>
    <n v="34"/>
    <x v="4"/>
    <x v="2"/>
    <n v="3"/>
    <n v="17456"/>
    <n v="52368"/>
    <n v="0"/>
    <n v="52368"/>
    <s v="2024-06-08"/>
    <x v="3"/>
    <x v="2"/>
  </r>
  <r>
    <s v="T0154"/>
    <s v="Rohan"/>
    <x v="2"/>
    <n v="43"/>
    <x v="0"/>
    <x v="0"/>
    <n v="2"/>
    <n v="13671"/>
    <n v="27342"/>
    <n v="0"/>
    <n v="27342"/>
    <s v="2024-05-30"/>
    <x v="1"/>
    <x v="2"/>
  </r>
  <r>
    <s v="T0155"/>
    <s v="Rohan"/>
    <x v="2"/>
    <n v="54"/>
    <x v="3"/>
    <x v="1"/>
    <n v="4"/>
    <n v="26544"/>
    <n v="106176"/>
    <n v="0.2"/>
    <n v="84940.800000000003"/>
    <s v="2024-02-23"/>
    <x v="1"/>
    <x v="3"/>
  </r>
  <r>
    <s v="T0156"/>
    <s v="Kabir"/>
    <x v="2"/>
    <n v="31"/>
    <x v="7"/>
    <x v="1"/>
    <n v="4"/>
    <n v="9509"/>
    <n v="38036"/>
    <n v="0.2"/>
    <n v="30428.799999999999"/>
    <s v="2024-09-04"/>
    <x v="2"/>
    <x v="0"/>
  </r>
  <r>
    <s v="T0157"/>
    <s v="Siya"/>
    <x v="3"/>
    <n v="22"/>
    <x v="7"/>
    <x v="1"/>
    <n v="1"/>
    <n v="8158"/>
    <n v="8158"/>
    <n v="0.1"/>
    <n v="7342.2"/>
    <s v="2024-11-11"/>
    <x v="3"/>
    <x v="2"/>
  </r>
  <r>
    <s v="T0158"/>
    <s v="Kabir"/>
    <x v="2"/>
    <n v="54"/>
    <x v="2"/>
    <x v="0"/>
    <n v="4"/>
    <n v="10033"/>
    <n v="40132"/>
    <n v="0.1"/>
    <n v="36118.800000000003"/>
    <s v="2024-11-24"/>
    <x v="3"/>
    <x v="2"/>
  </r>
  <r>
    <s v="T0159"/>
    <s v="Diya"/>
    <x v="3"/>
    <n v="49"/>
    <x v="0"/>
    <x v="0"/>
    <n v="2"/>
    <n v="28839"/>
    <n v="57678"/>
    <n v="0.1"/>
    <n v="51910.2"/>
    <s v="2024-11-19"/>
    <x v="1"/>
    <x v="0"/>
  </r>
  <r>
    <s v="T0160"/>
    <s v="Vivaan"/>
    <x v="2"/>
    <n v="25"/>
    <x v="7"/>
    <x v="1"/>
    <n v="4"/>
    <n v="27511"/>
    <n v="110044"/>
    <n v="0.1"/>
    <n v="99039.6"/>
    <s v="2024-10-28"/>
    <x v="2"/>
    <x v="3"/>
  </r>
  <r>
    <s v="T0161"/>
    <s v="Meera"/>
    <x v="3"/>
    <n v="40"/>
    <x v="7"/>
    <x v="1"/>
    <n v="4"/>
    <n v="13037"/>
    <n v="52148"/>
    <n v="0.15"/>
    <n v="44325.8"/>
    <s v="2024-06-08"/>
    <x v="0"/>
    <x v="1"/>
  </r>
  <r>
    <s v="T0162"/>
    <s v="Aisha"/>
    <x v="3"/>
    <n v="20"/>
    <x v="5"/>
    <x v="3"/>
    <n v="3"/>
    <n v="11699"/>
    <n v="35097"/>
    <n v="0.2"/>
    <n v="28077.599999999999"/>
    <s v="2024-06-08"/>
    <x v="0"/>
    <x v="3"/>
  </r>
  <r>
    <s v="T0163"/>
    <s v="Meera"/>
    <x v="3"/>
    <n v="28"/>
    <x v="4"/>
    <x v="2"/>
    <n v="4"/>
    <n v="11025"/>
    <n v="44100"/>
    <n v="0.1"/>
    <n v="39690"/>
    <s v="2024-03-18"/>
    <x v="2"/>
    <x v="0"/>
  </r>
  <r>
    <s v="T0164"/>
    <s v="Meera"/>
    <x v="3"/>
    <n v="36"/>
    <x v="4"/>
    <x v="2"/>
    <n v="5"/>
    <n v="20763"/>
    <n v="103815"/>
    <n v="0.15"/>
    <n v="88242.75"/>
    <s v="2024-02-27"/>
    <x v="3"/>
    <x v="0"/>
  </r>
  <r>
    <s v="T0165"/>
    <s v="Rohan"/>
    <x v="2"/>
    <n v="24"/>
    <x v="5"/>
    <x v="3"/>
    <n v="1"/>
    <n v="17163"/>
    <n v="17163"/>
    <n v="0"/>
    <n v="17163"/>
    <s v="2024-05-27"/>
    <x v="0"/>
    <x v="0"/>
  </r>
  <r>
    <s v="T0166"/>
    <s v="Diya"/>
    <x v="3"/>
    <n v="25"/>
    <x v="1"/>
    <x v="0"/>
    <n v="3"/>
    <n v="23136"/>
    <n v="69408"/>
    <n v="0.05"/>
    <n v="65937.600000000006"/>
    <s v="2024-06-11"/>
    <x v="0"/>
    <x v="2"/>
  </r>
  <r>
    <s v="T0167"/>
    <s v="Arjun"/>
    <x v="2"/>
    <n v="19"/>
    <x v="3"/>
    <x v="1"/>
    <n v="2"/>
    <n v="20475"/>
    <n v="40950"/>
    <n v="0.1"/>
    <n v="36855"/>
    <s v="2024-08-17"/>
    <x v="1"/>
    <x v="0"/>
  </r>
  <r>
    <s v="T0168"/>
    <s v="Aisha"/>
    <x v="3"/>
    <n v="22"/>
    <x v="6"/>
    <x v="3"/>
    <n v="1"/>
    <n v="10873"/>
    <n v="10873"/>
    <n v="0.05"/>
    <n v="10329.35"/>
    <s v="2024-10-15"/>
    <x v="3"/>
    <x v="3"/>
  </r>
  <r>
    <s v="T0169"/>
    <s v="Meera"/>
    <x v="3"/>
    <n v="43"/>
    <x v="7"/>
    <x v="1"/>
    <n v="2"/>
    <n v="28123"/>
    <n v="56246"/>
    <n v="0"/>
    <n v="56246"/>
    <s v="2024-01-26"/>
    <x v="0"/>
    <x v="1"/>
  </r>
  <r>
    <s v="T0170"/>
    <s v="Aarav"/>
    <x v="2"/>
    <n v="60"/>
    <x v="3"/>
    <x v="1"/>
    <n v="5"/>
    <n v="3819"/>
    <n v="19095"/>
    <n v="0.15"/>
    <n v="16230.75"/>
    <s v="2024-03-08"/>
    <x v="2"/>
    <x v="1"/>
  </r>
  <r>
    <s v="T0171"/>
    <s v="Aisha"/>
    <x v="3"/>
    <n v="39"/>
    <x v="7"/>
    <x v="1"/>
    <n v="1"/>
    <n v="26144"/>
    <n v="26144"/>
    <n v="0.1"/>
    <n v="23529.599999999999"/>
    <s v="2024-06-30"/>
    <x v="1"/>
    <x v="0"/>
  </r>
  <r>
    <s v="T0172"/>
    <s v="Aisha"/>
    <x v="3"/>
    <n v="23"/>
    <x v="6"/>
    <x v="3"/>
    <n v="1"/>
    <n v="19462"/>
    <n v="19462"/>
    <n v="0.15"/>
    <n v="16542.7"/>
    <s v="2024-07-16"/>
    <x v="0"/>
    <x v="0"/>
  </r>
  <r>
    <s v="T0173"/>
    <s v="Rohan"/>
    <x v="2"/>
    <n v="44"/>
    <x v="6"/>
    <x v="3"/>
    <n v="5"/>
    <n v="27824"/>
    <n v="139120"/>
    <n v="0.05"/>
    <n v="132164"/>
    <s v="2024-01-14"/>
    <x v="2"/>
    <x v="2"/>
  </r>
  <r>
    <s v="T0174"/>
    <s v="Pooja"/>
    <x v="3"/>
    <n v="28"/>
    <x v="5"/>
    <x v="3"/>
    <n v="5"/>
    <n v="19422"/>
    <n v="97110"/>
    <n v="0"/>
    <n v="97110"/>
    <s v="2024-03-07"/>
    <x v="0"/>
    <x v="0"/>
  </r>
  <r>
    <s v="T0175"/>
    <s v="Pooja"/>
    <x v="3"/>
    <n v="37"/>
    <x v="7"/>
    <x v="1"/>
    <n v="5"/>
    <n v="18155"/>
    <n v="90775"/>
    <n v="0.2"/>
    <n v="72620"/>
    <s v="2024-06-19"/>
    <x v="1"/>
    <x v="3"/>
  </r>
  <r>
    <s v="T0176"/>
    <s v="Arjun"/>
    <x v="2"/>
    <n v="43"/>
    <x v="0"/>
    <x v="0"/>
    <n v="2"/>
    <n v="21961"/>
    <n v="43922"/>
    <n v="0"/>
    <n v="43922"/>
    <s v="2024-02-04"/>
    <x v="0"/>
    <x v="0"/>
  </r>
  <r>
    <s v="T0177"/>
    <s v="Vivaan"/>
    <x v="2"/>
    <n v="21"/>
    <x v="4"/>
    <x v="2"/>
    <n v="3"/>
    <n v="12369"/>
    <n v="37107"/>
    <n v="0.1"/>
    <n v="33396.300000000003"/>
    <s v="2024-07-22"/>
    <x v="1"/>
    <x v="2"/>
  </r>
  <r>
    <s v="T0178"/>
    <s v="Diya"/>
    <x v="3"/>
    <n v="50"/>
    <x v="5"/>
    <x v="3"/>
    <n v="5"/>
    <n v="17584"/>
    <n v="87920"/>
    <n v="0.05"/>
    <n v="83524"/>
    <s v="2024-09-20"/>
    <x v="2"/>
    <x v="2"/>
  </r>
  <r>
    <s v="T0179"/>
    <s v="Meera"/>
    <x v="3"/>
    <n v="38"/>
    <x v="6"/>
    <x v="3"/>
    <n v="5"/>
    <n v="21053"/>
    <n v="105265"/>
    <n v="0.05"/>
    <n v="100001.75"/>
    <s v="2024-11-21"/>
    <x v="0"/>
    <x v="3"/>
  </r>
  <r>
    <s v="T0180"/>
    <s v="Siya"/>
    <x v="3"/>
    <n v="22"/>
    <x v="1"/>
    <x v="0"/>
    <n v="2"/>
    <n v="29792"/>
    <n v="59584"/>
    <n v="0.05"/>
    <n v="56604.800000000003"/>
    <s v="2024-10-19"/>
    <x v="0"/>
    <x v="3"/>
  </r>
  <r>
    <s v="T0181"/>
    <s v="Arjun"/>
    <x v="2"/>
    <n v="35"/>
    <x v="7"/>
    <x v="1"/>
    <n v="1"/>
    <n v="968"/>
    <n v="968"/>
    <n v="0.05"/>
    <n v="919.6"/>
    <s v="2024-01-25"/>
    <x v="1"/>
    <x v="2"/>
  </r>
  <r>
    <s v="T0182"/>
    <s v="Aisha"/>
    <x v="3"/>
    <n v="58"/>
    <x v="6"/>
    <x v="3"/>
    <n v="4"/>
    <n v="7554"/>
    <n v="30216"/>
    <n v="0.1"/>
    <n v="27194.400000000001"/>
    <s v="2024-10-23"/>
    <x v="0"/>
    <x v="2"/>
  </r>
  <r>
    <s v="T0183"/>
    <s v="Aisha"/>
    <x v="3"/>
    <n v="27"/>
    <x v="1"/>
    <x v="0"/>
    <n v="5"/>
    <n v="8566"/>
    <n v="42830"/>
    <n v="0.2"/>
    <n v="34264"/>
    <s v="2024-05-21"/>
    <x v="2"/>
    <x v="0"/>
  </r>
  <r>
    <s v="T0184"/>
    <s v="Diya"/>
    <x v="3"/>
    <n v="57"/>
    <x v="7"/>
    <x v="1"/>
    <n v="5"/>
    <n v="25699"/>
    <n v="128495"/>
    <n v="0.05"/>
    <n v="122070.25"/>
    <s v="2024-03-28"/>
    <x v="1"/>
    <x v="2"/>
  </r>
  <r>
    <s v="T0185"/>
    <s v="Diya"/>
    <x v="3"/>
    <n v="48"/>
    <x v="6"/>
    <x v="3"/>
    <n v="3"/>
    <n v="9254"/>
    <n v="27762"/>
    <n v="0.2"/>
    <n v="22209.599999999999"/>
    <s v="2024-06-12"/>
    <x v="2"/>
    <x v="1"/>
  </r>
  <r>
    <s v="T0186"/>
    <s v="Arjun"/>
    <x v="2"/>
    <n v="24"/>
    <x v="0"/>
    <x v="0"/>
    <n v="3"/>
    <n v="3674"/>
    <n v="11022"/>
    <n v="0.2"/>
    <n v="8817.6"/>
    <s v="2024-03-03"/>
    <x v="2"/>
    <x v="0"/>
  </r>
  <r>
    <s v="T0187"/>
    <s v="Aarav"/>
    <x v="2"/>
    <n v="30"/>
    <x v="4"/>
    <x v="2"/>
    <n v="2"/>
    <n v="9180"/>
    <n v="18360"/>
    <n v="0.05"/>
    <n v="17442"/>
    <s v="2024-08-21"/>
    <x v="0"/>
    <x v="1"/>
  </r>
  <r>
    <s v="T0188"/>
    <s v="Siya"/>
    <x v="3"/>
    <n v="55"/>
    <x v="4"/>
    <x v="2"/>
    <n v="1"/>
    <n v="15763"/>
    <n v="15763"/>
    <n v="0.05"/>
    <n v="14974.85"/>
    <s v="2024-08-03"/>
    <x v="1"/>
    <x v="2"/>
  </r>
  <r>
    <s v="T0189"/>
    <s v="Meera"/>
    <x v="3"/>
    <n v="52"/>
    <x v="1"/>
    <x v="0"/>
    <n v="5"/>
    <n v="24412"/>
    <n v="122060"/>
    <n v="0.05"/>
    <n v="115957"/>
    <s v="2024-05-08"/>
    <x v="3"/>
    <x v="2"/>
  </r>
  <r>
    <s v="T0190"/>
    <s v="Arjun"/>
    <x v="2"/>
    <n v="24"/>
    <x v="5"/>
    <x v="3"/>
    <n v="4"/>
    <n v="11037"/>
    <n v="44148"/>
    <n v="0.1"/>
    <n v="39733.199999999997"/>
    <s v="2024-08-06"/>
    <x v="0"/>
    <x v="1"/>
  </r>
  <r>
    <s v="T0191"/>
    <s v="Diya"/>
    <x v="3"/>
    <n v="22"/>
    <x v="7"/>
    <x v="1"/>
    <n v="5"/>
    <n v="9010"/>
    <n v="45050"/>
    <n v="0.1"/>
    <n v="40545"/>
    <s v="2024-01-04"/>
    <x v="3"/>
    <x v="1"/>
  </r>
  <r>
    <s v="T0192"/>
    <s v="Meera"/>
    <x v="3"/>
    <n v="51"/>
    <x v="1"/>
    <x v="0"/>
    <n v="3"/>
    <n v="7664"/>
    <n v="22992"/>
    <n v="0.1"/>
    <n v="20692.8"/>
    <s v="2024-01-16"/>
    <x v="1"/>
    <x v="1"/>
  </r>
  <r>
    <s v="T0193"/>
    <s v="Arjun"/>
    <x v="2"/>
    <n v="54"/>
    <x v="2"/>
    <x v="0"/>
    <n v="4"/>
    <n v="10861"/>
    <n v="43444"/>
    <n v="0.15"/>
    <n v="36927.4"/>
    <s v="2024-12-26"/>
    <x v="2"/>
    <x v="2"/>
  </r>
  <r>
    <s v="T0194"/>
    <s v="Aisha"/>
    <x v="3"/>
    <n v="46"/>
    <x v="2"/>
    <x v="0"/>
    <n v="1"/>
    <n v="26917"/>
    <n v="26917"/>
    <n v="0.15"/>
    <n v="22879.45"/>
    <s v="2024-03-15"/>
    <x v="2"/>
    <x v="3"/>
  </r>
  <r>
    <s v="T0195"/>
    <s v="Siya"/>
    <x v="3"/>
    <n v="25"/>
    <x v="7"/>
    <x v="1"/>
    <n v="4"/>
    <n v="26256"/>
    <n v="105024"/>
    <n v="0"/>
    <n v="105024"/>
    <s v="2024-04-04"/>
    <x v="3"/>
    <x v="3"/>
  </r>
  <r>
    <s v="T0196"/>
    <s v="Kabir"/>
    <x v="2"/>
    <n v="42"/>
    <x v="0"/>
    <x v="0"/>
    <n v="2"/>
    <n v="4989"/>
    <n v="9978"/>
    <n v="0.2"/>
    <n v="7982.4"/>
    <s v="2024-03-22"/>
    <x v="0"/>
    <x v="2"/>
  </r>
  <r>
    <s v="T0197"/>
    <s v="Vivaan"/>
    <x v="2"/>
    <n v="43"/>
    <x v="5"/>
    <x v="3"/>
    <n v="4"/>
    <n v="1675"/>
    <n v="6700"/>
    <n v="0.2"/>
    <n v="5360"/>
    <s v="2024-01-08"/>
    <x v="1"/>
    <x v="2"/>
  </r>
  <r>
    <s v="T0198"/>
    <s v="Vivaan"/>
    <x v="2"/>
    <n v="57"/>
    <x v="0"/>
    <x v="0"/>
    <n v="3"/>
    <n v="29287"/>
    <n v="87861"/>
    <n v="0.15"/>
    <n v="74681.850000000006"/>
    <s v="2024-01-01"/>
    <x v="3"/>
    <x v="0"/>
  </r>
  <r>
    <s v="T0199"/>
    <s v="Siya"/>
    <x v="3"/>
    <n v="29"/>
    <x v="0"/>
    <x v="0"/>
    <n v="5"/>
    <n v="4393"/>
    <n v="21965"/>
    <n v="0.15"/>
    <n v="18670.25"/>
    <s v="2024-10-17"/>
    <x v="3"/>
    <x v="2"/>
  </r>
  <r>
    <s v="T0200"/>
    <s v="Kabir"/>
    <x v="2"/>
    <n v="26"/>
    <x v="0"/>
    <x v="0"/>
    <n v="2"/>
    <n v="2153"/>
    <n v="4306"/>
    <n v="0.1"/>
    <n v="3875.4"/>
    <s v="2024-07-2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4:G9" firstHeaderRow="1" firstDataRow="1" firstDataCol="1"/>
  <pivotFields count="14">
    <pivotField showAll="0"/>
    <pivotField showAll="0"/>
    <pivotField showAll="0"/>
    <pivotField numFmtId="1" showAll="0"/>
    <pivotField showAll="0"/>
    <pivotField showAll="0">
      <items count="5">
        <item x="3"/>
        <item x="0"/>
        <item x="1"/>
        <item x="2"/>
        <item t="default"/>
      </items>
    </pivotField>
    <pivotField showAll="0"/>
    <pivotField numFmtId="164" showAll="0"/>
    <pivotField numFmtId="164" showAll="0"/>
    <pivotField numFmtId="9" showAll="0"/>
    <pivotField dataField="1" numFmtId="164" showAll="0"/>
    <pivotField showAll="0"/>
    <pivotField axis="axisRow" showAll="0">
      <items count="5">
        <item x="1"/>
        <item x="3"/>
        <item x="0"/>
        <item x="2"/>
        <item t="default"/>
      </items>
    </pivotField>
    <pivotField showAll="0">
      <items count="5">
        <item x="1"/>
        <item h="1" x="2"/>
        <item h="1" x="3"/>
        <item h="1" x="0"/>
        <item t="default"/>
      </items>
    </pivotField>
  </pivotFields>
  <rowFields count="1">
    <field x="12"/>
  </rowFields>
  <rowItems count="5">
    <i>
      <x/>
    </i>
    <i>
      <x v="1"/>
    </i>
    <i>
      <x v="2"/>
    </i>
    <i>
      <x v="3"/>
    </i>
    <i t="grand">
      <x/>
    </i>
  </rowItems>
  <colItems count="1">
    <i/>
  </colItems>
  <dataFields count="1">
    <dataField name="Average of FinalPrice" fld="10" subtotal="average" baseField="12" baseItem="0"/>
  </dataFields>
  <formats count="7">
    <format dxfId="27">
      <pivotArea type="all" dataOnly="0" outline="0" fieldPosition="0"/>
    </format>
    <format dxfId="26">
      <pivotArea outline="0" collapsedLevelsAreSubtotals="1" fieldPosition="0"/>
    </format>
    <format dxfId="25">
      <pivotArea field="12" type="button" dataOnly="0" labelOnly="1" outline="0" axis="axisRow" fieldPosition="0"/>
    </format>
    <format dxfId="24">
      <pivotArea dataOnly="0" labelOnly="1" outline="0" axis="axisValues" fieldPosition="0"/>
    </format>
    <format dxfId="23">
      <pivotArea dataOnly="0" labelOnly="1" fieldPosition="0">
        <references count="1">
          <reference field="12" count="0"/>
        </references>
      </pivotArea>
    </format>
    <format dxfId="22">
      <pivotArea dataOnly="0" labelOnly="1" grandRow="1" outline="0" fieldPosition="0"/>
    </format>
    <format dxfId="21">
      <pivotArea dataOnly="0" labelOnly="1" outline="0" axis="axisValues" fieldPosition="0"/>
    </format>
  </formats>
  <chartFormats count="2">
    <chartFormat chart="2" format="1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4:C9" firstHeaderRow="1" firstDataRow="1" firstDataCol="1"/>
  <pivotFields count="14">
    <pivotField showAll="0"/>
    <pivotField showAll="0"/>
    <pivotField showAll="0"/>
    <pivotField numFmtId="1" showAll="0"/>
    <pivotField showAll="0"/>
    <pivotField axis="axisRow" showAll="0">
      <items count="5">
        <item x="3"/>
        <item x="0"/>
        <item x="1"/>
        <item x="2"/>
        <item t="default"/>
      </items>
    </pivotField>
    <pivotField showAll="0"/>
    <pivotField numFmtId="164" showAll="0"/>
    <pivotField numFmtId="164" showAll="0"/>
    <pivotField numFmtId="9" showAll="0"/>
    <pivotField dataField="1" numFmtId="164" showAll="0"/>
    <pivotField showAll="0"/>
    <pivotField showAll="0"/>
    <pivotField showAll="0"/>
  </pivotFields>
  <rowFields count="1">
    <field x="5"/>
  </rowFields>
  <rowItems count="5">
    <i>
      <x/>
    </i>
    <i>
      <x v="1"/>
    </i>
    <i>
      <x v="2"/>
    </i>
    <i>
      <x v="3"/>
    </i>
    <i t="grand">
      <x/>
    </i>
  </rowItems>
  <colItems count="1">
    <i/>
  </colItems>
  <dataFields count="1">
    <dataField name="Sum of FinalPrice" fld="10" baseField="0" baseItem="0"/>
  </dataFields>
  <formats count="7">
    <format dxfId="20">
      <pivotArea type="all" dataOnly="0" outline="0" fieldPosition="0"/>
    </format>
    <format dxfId="19">
      <pivotArea outline="0" collapsedLevelsAreSubtotals="1" fieldPosition="0"/>
    </format>
    <format dxfId="18">
      <pivotArea field="5" type="button" dataOnly="0" labelOnly="1" outline="0" axis="axisRow" fieldPosition="0"/>
    </format>
    <format dxfId="17">
      <pivotArea dataOnly="0" labelOnly="1" outline="0" axis="axisValues" fieldPosition="0"/>
    </format>
    <format dxfId="16">
      <pivotArea dataOnly="0" labelOnly="1" fieldPosition="0">
        <references count="1">
          <reference field="5" count="0"/>
        </references>
      </pivotArea>
    </format>
    <format dxfId="15">
      <pivotArea dataOnly="0" labelOnly="1" grandRow="1" outline="0" fieldPosition="0"/>
    </format>
    <format dxfId="14">
      <pivotArea dataOnly="0" labelOnly="1" outline="0" axis="axisValues"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N4:O9" firstHeaderRow="1" firstDataRow="1" firstDataCol="1"/>
  <pivotFields count="14">
    <pivotField showAll="0"/>
    <pivotField showAll="0"/>
    <pivotField showAll="0">
      <items count="5">
        <item x="3"/>
        <item h="1" x="0"/>
        <item h="1" x="2"/>
        <item h="1" x="1"/>
        <item t="default"/>
      </items>
    </pivotField>
    <pivotField numFmtId="1" showAll="0"/>
    <pivotField showAll="0"/>
    <pivotField axis="axisRow" showAll="0">
      <items count="5">
        <item x="3"/>
        <item x="0"/>
        <item x="1"/>
        <item x="2"/>
        <item t="default"/>
      </items>
    </pivotField>
    <pivotField showAll="0"/>
    <pivotField dataField="1" numFmtId="164" showAll="0"/>
    <pivotField numFmtId="164" showAll="0"/>
    <pivotField numFmtId="9" showAll="0"/>
    <pivotField numFmtId="164" showAll="0"/>
    <pivotField showAll="0"/>
    <pivotField showAll="0">
      <items count="5">
        <item x="1"/>
        <item x="3"/>
        <item x="0"/>
        <item x="2"/>
        <item t="default"/>
      </items>
    </pivotField>
    <pivotField showAll="0"/>
  </pivotFields>
  <rowFields count="1">
    <field x="5"/>
  </rowFields>
  <rowItems count="5">
    <i>
      <x/>
    </i>
    <i>
      <x v="1"/>
    </i>
    <i>
      <x v="2"/>
    </i>
    <i>
      <x v="3"/>
    </i>
    <i t="grand">
      <x/>
    </i>
  </rowItems>
  <colItems count="1">
    <i/>
  </colItems>
  <dataFields count="1">
    <dataField name="Count of UnitPrice" fld="7" subtotal="count" baseField="5" baseItem="0"/>
  </dataFields>
  <formats count="7">
    <format dxfId="13">
      <pivotArea type="all" dataOnly="0" outline="0" fieldPosition="0"/>
    </format>
    <format dxfId="12">
      <pivotArea outline="0" collapsedLevelsAreSubtotals="1" fieldPosition="0"/>
    </format>
    <format dxfId="11">
      <pivotArea field="5" type="button" dataOnly="0" labelOnly="1" outline="0" axis="axisRow" fieldPosition="0"/>
    </format>
    <format dxfId="10">
      <pivotArea dataOnly="0" labelOnly="1" outline="0" axis="axisValues" fieldPosition="0"/>
    </format>
    <format dxfId="9">
      <pivotArea dataOnly="0" labelOnly="1" fieldPosition="0">
        <references count="1">
          <reference field="5" count="0"/>
        </references>
      </pivotArea>
    </format>
    <format dxfId="8">
      <pivotArea dataOnly="0" labelOnly="1" grandRow="1" outline="0" fieldPosition="0"/>
    </format>
    <format dxfId="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4:K13" firstHeaderRow="1" firstDataRow="1" firstDataCol="1"/>
  <pivotFields count="14">
    <pivotField showAll="0"/>
    <pivotField showAll="0"/>
    <pivotField showAll="0"/>
    <pivotField numFmtId="1" showAll="0"/>
    <pivotField axis="axisRow" showAll="0">
      <items count="9">
        <item x="6"/>
        <item x="0"/>
        <item x="1"/>
        <item x="4"/>
        <item x="2"/>
        <item x="3"/>
        <item x="7"/>
        <item x="5"/>
        <item t="default"/>
      </items>
    </pivotField>
    <pivotField showAll="0"/>
    <pivotField showAll="0"/>
    <pivotField numFmtId="164" showAll="0"/>
    <pivotField numFmtId="164" showAll="0"/>
    <pivotField numFmtId="9" showAll="0"/>
    <pivotField numFmtId="164" showAll="0"/>
    <pivotField showAll="0"/>
    <pivotField showAll="0"/>
    <pivotField dataField="1" showAll="0"/>
  </pivotFields>
  <rowFields count="1">
    <field x="4"/>
  </rowFields>
  <rowItems count="9">
    <i>
      <x/>
    </i>
    <i>
      <x v="1"/>
    </i>
    <i>
      <x v="2"/>
    </i>
    <i>
      <x v="3"/>
    </i>
    <i>
      <x v="4"/>
    </i>
    <i>
      <x v="5"/>
    </i>
    <i>
      <x v="6"/>
    </i>
    <i>
      <x v="7"/>
    </i>
    <i t="grand">
      <x/>
    </i>
  </rowItems>
  <colItems count="1">
    <i/>
  </colItems>
  <dataFields count="1">
    <dataField name="Count of PaymentMode" fld="13" subtotal="count" baseField="0" baseItem="0"/>
  </dataFields>
  <formats count="7">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outline="0" axis="axisValues"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6"/>
  </pivotTables>
  <data>
    <tabular pivotCacheId="1">
      <items count="8">
        <i x="6" s="1"/>
        <i x="0" s="1"/>
        <i x="1" s="1"/>
        <i x="4" s="1"/>
        <i x="2" s="1"/>
        <i x="3"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Mode" sourceName="PaymentMode">
  <pivotTables>
    <pivotTable tabId="3" name="PivotTable5"/>
  </pivotTables>
  <data>
    <tabular pivotCacheId="1">
      <items count="4">
        <i x="1" s="1"/>
        <i x="2"/>
        <i x="3"/>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7"/>
  </pivotTables>
  <data>
    <tabular pivotCacheId="1">
      <items count="4">
        <i x="3" s="1"/>
        <i x="0"/>
        <i x="2"/>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7"/>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Dark4" rowHeight="234950"/>
  <slicer name="Product" cache="Slicer_Product" caption="Product" style="SlicerStyleDark2" rowHeight="234950"/>
  <slicer name="PaymentMode" cache="Slicer_PaymentMode" caption="PaymentMode" style="SlicerStyleDark5" rowHeight="234950"/>
  <slicer name="Gender" cache="Slicer_Gender" caption="Gender" style="SlicerStyleLight6" rowHeight="234950"/>
  <slicer name="Region" cache="Slicer_Region" caption="Region" style="SlicerStyleLight6" rowHeight="234950"/>
</slicers>
</file>

<file path=xl/tables/table1.xml><?xml version="1.0" encoding="utf-8"?>
<table xmlns="http://schemas.openxmlformats.org/spreadsheetml/2006/main" id="3" name="Table3" displayName="Table3" ref="A1:N201" totalsRowShown="0" headerRowBorderDxfId="43" tableBorderDxfId="42">
  <autoFilter ref="A1:N201"/>
  <tableColumns count="14">
    <tableColumn id="1" name="TransactionID" dataDxfId="41"/>
    <tableColumn id="2" name="CustomerName" dataDxfId="40"/>
    <tableColumn id="3" name="Gender" dataDxfId="39"/>
    <tableColumn id="4" name="Age" dataDxfId="38"/>
    <tableColumn id="5" name="Product" dataDxfId="37"/>
    <tableColumn id="6" name="Category" dataDxfId="36"/>
    <tableColumn id="7" name="Quantity" dataDxfId="35"/>
    <tableColumn id="8" name="UnitPrice" dataDxfId="34"/>
    <tableColumn id="9" name="TotalPrice" dataDxfId="33">
      <calculatedColumnFormula>G2*H2</calculatedColumnFormula>
    </tableColumn>
    <tableColumn id="10" name="DiscountPercent" dataDxfId="32"/>
    <tableColumn id="11" name="FinalPrice" dataDxfId="31">
      <calculatedColumnFormula>I2-(I2*J2)</calculatedColumnFormula>
    </tableColumn>
    <tableColumn id="12" name="Date" dataDxfId="30"/>
    <tableColumn id="13" name="Region" dataDxfId="29"/>
    <tableColumn id="14" name="PaymentMode" dataDxfId="28"/>
  </tableColumns>
  <tableStyleInfo name="TableStyleMedium2" showFirstColumn="0" showLastColumn="0" showRowStripes="1" showColumnStripes="0"/>
</table>
</file>

<file path=xl/tables/table2.xml><?xml version="1.0" encoding="utf-8"?>
<table xmlns="http://schemas.openxmlformats.org/spreadsheetml/2006/main" id="4" name="Table4" displayName="Table4" ref="A1:N49" totalsRowShown="0">
  <autoFilter ref="A1:N49"/>
  <tableColumns count="14">
    <tableColumn id="1" name="TransactionID"/>
    <tableColumn id="2" name="CustomerName"/>
    <tableColumn id="3" name="Gender"/>
    <tableColumn id="4" name="Age"/>
    <tableColumn id="5" name="Product"/>
    <tableColumn id="6" name="Category"/>
    <tableColumn id="7" name="Quantity"/>
    <tableColumn id="8" name="UnitPrice"/>
    <tableColumn id="9" name="TotalPrice"/>
    <tableColumn id="10" name="DiscountPercent"/>
    <tableColumn id="11" name="FinalPrice"/>
    <tableColumn id="12" name="Date"/>
    <tableColumn id="13" name="Region"/>
    <tableColumn id="14" name="Payment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tabSelected="1" zoomScale="94" zoomScaleNormal="113" workbookViewId="0">
      <selection activeCell="I12" sqref="I12"/>
    </sheetView>
  </sheetViews>
  <sheetFormatPr defaultColWidth="14.33203125" defaultRowHeight="14.4" x14ac:dyDescent="0.3"/>
  <cols>
    <col min="2" max="2" width="15.77734375" customWidth="1"/>
    <col min="3" max="3" width="11.88671875" customWidth="1"/>
    <col min="4" max="4" width="11.33203125" style="7" customWidth="1"/>
    <col min="7" max="7" width="10.44140625" customWidth="1"/>
    <col min="8" max="9" width="14.33203125" style="11"/>
    <col min="10" max="10" width="16.5546875" style="12" customWidth="1"/>
    <col min="11" max="11" width="14.77734375" style="11" bestFit="1" customWidth="1"/>
    <col min="12" max="12" width="14.33203125" style="16"/>
    <col min="14" max="14" width="15.109375" customWidth="1"/>
  </cols>
  <sheetData>
    <row r="1" spans="1:14" ht="15" thickBot="1" x14ac:dyDescent="0.35">
      <c r="A1" s="30" t="s">
        <v>0</v>
      </c>
      <c r="B1" s="32" t="s">
        <v>1</v>
      </c>
      <c r="C1" s="32" t="s">
        <v>2</v>
      </c>
      <c r="D1" s="31" t="s">
        <v>3</v>
      </c>
      <c r="E1" s="32" t="s">
        <v>4</v>
      </c>
      <c r="F1" s="32" t="s">
        <v>5</v>
      </c>
      <c r="G1" s="33" t="s">
        <v>6</v>
      </c>
      <c r="H1" s="34" t="s">
        <v>7</v>
      </c>
      <c r="I1" s="34" t="s">
        <v>8</v>
      </c>
      <c r="J1" s="33" t="s">
        <v>9</v>
      </c>
      <c r="K1" s="34" t="s">
        <v>10</v>
      </c>
      <c r="L1" s="35" t="s">
        <v>11</v>
      </c>
      <c r="M1" s="32" t="s">
        <v>12</v>
      </c>
      <c r="N1" s="36" t="s">
        <v>13</v>
      </c>
    </row>
    <row r="2" spans="1:14" x14ac:dyDescent="0.3">
      <c r="A2" s="24" t="s">
        <v>14</v>
      </c>
      <c r="B2" s="2" t="s">
        <v>15</v>
      </c>
      <c r="C2" s="2" t="s">
        <v>16</v>
      </c>
      <c r="D2" s="4">
        <v>46</v>
      </c>
      <c r="E2" s="2" t="s">
        <v>17</v>
      </c>
      <c r="F2" s="2" t="s">
        <v>18</v>
      </c>
      <c r="G2" s="2">
        <v>2</v>
      </c>
      <c r="H2" s="8">
        <v>8422</v>
      </c>
      <c r="I2" s="8">
        <f>G2*H2</f>
        <v>16844</v>
      </c>
      <c r="J2" s="17">
        <v>0.05</v>
      </c>
      <c r="K2" s="8">
        <v>16001.8</v>
      </c>
      <c r="L2" s="13" t="s">
        <v>19</v>
      </c>
      <c r="M2" s="2" t="s">
        <v>20</v>
      </c>
      <c r="N2" s="27" t="s">
        <v>21</v>
      </c>
    </row>
    <row r="3" spans="1:14" x14ac:dyDescent="0.3">
      <c r="A3" s="25" t="s">
        <v>22</v>
      </c>
      <c r="B3" s="1" t="s">
        <v>23</v>
      </c>
      <c r="C3" s="1" t="s">
        <v>24</v>
      </c>
      <c r="D3" s="5">
        <v>44</v>
      </c>
      <c r="E3" s="1" t="s">
        <v>25</v>
      </c>
      <c r="F3" s="1" t="s">
        <v>18</v>
      </c>
      <c r="G3" s="1">
        <v>4</v>
      </c>
      <c r="H3" s="9">
        <v>10768</v>
      </c>
      <c r="I3" s="8">
        <f t="shared" ref="I3:I66" si="0">G3*H3</f>
        <v>43072</v>
      </c>
      <c r="J3" s="18">
        <v>0.15</v>
      </c>
      <c r="K3" s="8">
        <v>36611.199999999997</v>
      </c>
      <c r="L3" s="14" t="s">
        <v>26</v>
      </c>
      <c r="M3" s="1" t="s">
        <v>27</v>
      </c>
      <c r="N3" s="28" t="s">
        <v>28</v>
      </c>
    </row>
    <row r="4" spans="1:14" x14ac:dyDescent="0.3">
      <c r="A4" s="25" t="s">
        <v>29</v>
      </c>
      <c r="B4" s="1" t="s">
        <v>15</v>
      </c>
      <c r="C4" s="1" t="s">
        <v>16</v>
      </c>
      <c r="D4" s="5">
        <v>28</v>
      </c>
      <c r="E4" s="1" t="s">
        <v>30</v>
      </c>
      <c r="F4" s="1" t="s">
        <v>18</v>
      </c>
      <c r="G4" s="1">
        <v>1</v>
      </c>
      <c r="H4" s="9">
        <v>24016</v>
      </c>
      <c r="I4" s="8">
        <f t="shared" si="0"/>
        <v>24016</v>
      </c>
      <c r="J4" s="18">
        <v>0.15</v>
      </c>
      <c r="K4" s="8">
        <v>20413.599999999999</v>
      </c>
      <c r="L4" s="14" t="s">
        <v>31</v>
      </c>
      <c r="M4" s="1" t="s">
        <v>27</v>
      </c>
      <c r="N4" s="28" t="s">
        <v>32</v>
      </c>
    </row>
    <row r="5" spans="1:14" x14ac:dyDescent="0.3">
      <c r="A5" s="25" t="s">
        <v>33</v>
      </c>
      <c r="B5" s="1" t="s">
        <v>34</v>
      </c>
      <c r="C5" s="1" t="s">
        <v>16</v>
      </c>
      <c r="D5" s="5">
        <v>56</v>
      </c>
      <c r="E5" s="1" t="s">
        <v>17</v>
      </c>
      <c r="F5" s="1" t="s">
        <v>18</v>
      </c>
      <c r="G5" s="1">
        <v>5</v>
      </c>
      <c r="H5" s="9">
        <v>9873</v>
      </c>
      <c r="I5" s="8">
        <f t="shared" si="0"/>
        <v>49365</v>
      </c>
      <c r="J5" s="18">
        <v>0.2</v>
      </c>
      <c r="K5" s="8">
        <f t="shared" ref="K5:K66" si="1">I5-(I5*J5)</f>
        <v>39492</v>
      </c>
      <c r="L5" s="14" t="s">
        <v>35</v>
      </c>
      <c r="M5" s="1" t="s">
        <v>36</v>
      </c>
      <c r="N5" s="28" t="s">
        <v>21</v>
      </c>
    </row>
    <row r="6" spans="1:14" x14ac:dyDescent="0.3">
      <c r="A6" s="25" t="s">
        <v>37</v>
      </c>
      <c r="B6" s="1" t="s">
        <v>15</v>
      </c>
      <c r="C6" s="1" t="s">
        <v>16</v>
      </c>
      <c r="D6" s="5">
        <v>58</v>
      </c>
      <c r="E6" s="1" t="s">
        <v>38</v>
      </c>
      <c r="F6" s="1" t="s">
        <v>39</v>
      </c>
      <c r="G6" s="1">
        <v>4</v>
      </c>
      <c r="H6" s="9">
        <v>4657</v>
      </c>
      <c r="I6" s="8">
        <f t="shared" si="0"/>
        <v>18628</v>
      </c>
      <c r="J6" s="18">
        <v>0.05</v>
      </c>
      <c r="K6" s="8">
        <f t="shared" si="1"/>
        <v>17696.599999999999</v>
      </c>
      <c r="L6" s="14" t="s">
        <v>26</v>
      </c>
      <c r="M6" s="1" t="s">
        <v>27</v>
      </c>
      <c r="N6" s="28" t="s">
        <v>40</v>
      </c>
    </row>
    <row r="7" spans="1:14" x14ac:dyDescent="0.3">
      <c r="A7" s="25" t="s">
        <v>41</v>
      </c>
      <c r="B7" s="1" t="s">
        <v>34</v>
      </c>
      <c r="C7" s="1" t="s">
        <v>16</v>
      </c>
      <c r="D7" s="5">
        <v>51</v>
      </c>
      <c r="E7" s="1" t="s">
        <v>42</v>
      </c>
      <c r="F7" s="1" t="s">
        <v>43</v>
      </c>
      <c r="G7" s="1">
        <v>1</v>
      </c>
      <c r="H7" s="9">
        <v>7249</v>
      </c>
      <c r="I7" s="8">
        <f t="shared" si="0"/>
        <v>7249</v>
      </c>
      <c r="J7" s="18">
        <v>0.2</v>
      </c>
      <c r="K7" s="8">
        <f t="shared" si="1"/>
        <v>5799.2</v>
      </c>
      <c r="L7" s="14" t="s">
        <v>44</v>
      </c>
      <c r="M7" s="1" t="s">
        <v>45</v>
      </c>
      <c r="N7" s="28" t="s">
        <v>28</v>
      </c>
    </row>
    <row r="8" spans="1:14" x14ac:dyDescent="0.3">
      <c r="A8" s="25" t="s">
        <v>46</v>
      </c>
      <c r="B8" s="1" t="s">
        <v>23</v>
      </c>
      <c r="C8" s="1" t="s">
        <v>24</v>
      </c>
      <c r="D8" s="5">
        <v>50</v>
      </c>
      <c r="E8" s="1" t="s">
        <v>47</v>
      </c>
      <c r="F8" s="1" t="s">
        <v>48</v>
      </c>
      <c r="G8" s="1">
        <v>4</v>
      </c>
      <c r="H8" s="9">
        <v>17007</v>
      </c>
      <c r="I8" s="8">
        <f t="shared" si="0"/>
        <v>68028</v>
      </c>
      <c r="J8" s="18">
        <v>0.2</v>
      </c>
      <c r="K8" s="8">
        <f t="shared" si="1"/>
        <v>54422.400000000001</v>
      </c>
      <c r="L8" s="14" t="s">
        <v>49</v>
      </c>
      <c r="M8" s="1" t="s">
        <v>36</v>
      </c>
      <c r="N8" s="28" t="s">
        <v>21</v>
      </c>
    </row>
    <row r="9" spans="1:14" x14ac:dyDescent="0.3">
      <c r="A9" s="25" t="s">
        <v>50</v>
      </c>
      <c r="B9" s="1" t="s">
        <v>51</v>
      </c>
      <c r="C9" s="1" t="s">
        <v>16</v>
      </c>
      <c r="D9" s="5">
        <v>22</v>
      </c>
      <c r="E9" s="1" t="s">
        <v>25</v>
      </c>
      <c r="F9" s="1" t="s">
        <v>18</v>
      </c>
      <c r="G9" s="1">
        <v>3</v>
      </c>
      <c r="H9" s="9">
        <v>9112</v>
      </c>
      <c r="I9" s="8">
        <f t="shared" si="0"/>
        <v>27336</v>
      </c>
      <c r="J9" s="18">
        <v>0.2</v>
      </c>
      <c r="K9" s="8">
        <f t="shared" si="1"/>
        <v>21868.799999999999</v>
      </c>
      <c r="L9" s="14" t="s">
        <v>52</v>
      </c>
      <c r="M9" s="1" t="s">
        <v>27</v>
      </c>
      <c r="N9" s="28" t="s">
        <v>40</v>
      </c>
    </row>
    <row r="10" spans="1:14" x14ac:dyDescent="0.3">
      <c r="A10" s="25" t="s">
        <v>53</v>
      </c>
      <c r="B10" s="1" t="s">
        <v>54</v>
      </c>
      <c r="C10" s="1" t="s">
        <v>24</v>
      </c>
      <c r="D10" s="5">
        <v>18</v>
      </c>
      <c r="E10" s="1" t="s">
        <v>25</v>
      </c>
      <c r="F10" s="1" t="s">
        <v>18</v>
      </c>
      <c r="G10" s="1">
        <v>4</v>
      </c>
      <c r="H10" s="9">
        <v>29615</v>
      </c>
      <c r="I10" s="8">
        <f t="shared" si="0"/>
        <v>118460</v>
      </c>
      <c r="J10" s="18">
        <v>0.15</v>
      </c>
      <c r="K10" s="8">
        <f t="shared" si="1"/>
        <v>100691</v>
      </c>
      <c r="L10" s="14" t="s">
        <v>55</v>
      </c>
      <c r="M10" s="1" t="s">
        <v>45</v>
      </c>
      <c r="N10" s="28" t="s">
        <v>21</v>
      </c>
    </row>
    <row r="11" spans="1:14" x14ac:dyDescent="0.3">
      <c r="A11" s="25" t="s">
        <v>56</v>
      </c>
      <c r="B11" s="1" t="s">
        <v>15</v>
      </c>
      <c r="C11" s="1" t="s">
        <v>16</v>
      </c>
      <c r="D11" s="5">
        <v>32</v>
      </c>
      <c r="E11" s="1" t="s">
        <v>17</v>
      </c>
      <c r="F11" s="1" t="s">
        <v>18</v>
      </c>
      <c r="G11" s="1">
        <v>1</v>
      </c>
      <c r="H11" s="9">
        <v>21295</v>
      </c>
      <c r="I11" s="8">
        <f t="shared" si="0"/>
        <v>21295</v>
      </c>
      <c r="J11" s="18">
        <v>0.1</v>
      </c>
      <c r="K11" s="8">
        <f t="shared" si="1"/>
        <v>19165.5</v>
      </c>
      <c r="L11" s="14" t="s">
        <v>57</v>
      </c>
      <c r="M11" s="1" t="s">
        <v>20</v>
      </c>
      <c r="N11" s="28" t="s">
        <v>32</v>
      </c>
    </row>
    <row r="12" spans="1:14" x14ac:dyDescent="0.3">
      <c r="A12" s="25" t="s">
        <v>58</v>
      </c>
      <c r="B12" s="1" t="s">
        <v>15</v>
      </c>
      <c r="C12" s="1" t="s">
        <v>16</v>
      </c>
      <c r="D12" s="5">
        <v>24</v>
      </c>
      <c r="E12" s="1" t="s">
        <v>59</v>
      </c>
      <c r="F12" s="1" t="s">
        <v>48</v>
      </c>
      <c r="G12" s="1">
        <v>3</v>
      </c>
      <c r="H12" s="9">
        <v>9220</v>
      </c>
      <c r="I12" s="8">
        <f t="shared" si="0"/>
        <v>27660</v>
      </c>
      <c r="J12" s="18">
        <v>0</v>
      </c>
      <c r="K12" s="8">
        <f t="shared" si="1"/>
        <v>27660</v>
      </c>
      <c r="L12" s="14" t="s">
        <v>60</v>
      </c>
      <c r="M12" s="1" t="s">
        <v>45</v>
      </c>
      <c r="N12" s="28" t="s">
        <v>21</v>
      </c>
    </row>
    <row r="13" spans="1:14" x14ac:dyDescent="0.3">
      <c r="A13" s="25" t="s">
        <v>61</v>
      </c>
      <c r="B13" s="1" t="s">
        <v>51</v>
      </c>
      <c r="C13" s="1" t="s">
        <v>16</v>
      </c>
      <c r="D13" s="5">
        <v>19</v>
      </c>
      <c r="E13" s="1" t="s">
        <v>38</v>
      </c>
      <c r="F13" s="1" t="s">
        <v>39</v>
      </c>
      <c r="G13" s="1">
        <v>4</v>
      </c>
      <c r="H13" s="9">
        <v>2088</v>
      </c>
      <c r="I13" s="8">
        <f t="shared" si="0"/>
        <v>8352</v>
      </c>
      <c r="J13" s="18">
        <v>0.15</v>
      </c>
      <c r="K13" s="8">
        <f t="shared" si="1"/>
        <v>7099.2</v>
      </c>
      <c r="L13" s="14" t="s">
        <v>62</v>
      </c>
      <c r="M13" s="1" t="s">
        <v>45</v>
      </c>
      <c r="N13" s="28" t="s">
        <v>32</v>
      </c>
    </row>
    <row r="14" spans="1:14" x14ac:dyDescent="0.3">
      <c r="A14" s="25" t="s">
        <v>63</v>
      </c>
      <c r="B14" s="1" t="s">
        <v>34</v>
      </c>
      <c r="C14" s="1" t="s">
        <v>16</v>
      </c>
      <c r="D14" s="5">
        <v>42</v>
      </c>
      <c r="E14" s="1" t="s">
        <v>47</v>
      </c>
      <c r="F14" s="1" t="s">
        <v>48</v>
      </c>
      <c r="G14" s="1">
        <v>5</v>
      </c>
      <c r="H14" s="9">
        <v>1337</v>
      </c>
      <c r="I14" s="8">
        <f t="shared" si="0"/>
        <v>6685</v>
      </c>
      <c r="J14" s="18">
        <v>0.15</v>
      </c>
      <c r="K14" s="8">
        <f t="shared" si="1"/>
        <v>5682.25</v>
      </c>
      <c r="L14" s="14" t="s">
        <v>64</v>
      </c>
      <c r="M14" s="1" t="s">
        <v>20</v>
      </c>
      <c r="N14" s="28" t="s">
        <v>40</v>
      </c>
    </row>
    <row r="15" spans="1:14" x14ac:dyDescent="0.3">
      <c r="A15" s="25" t="s">
        <v>65</v>
      </c>
      <c r="B15" s="1" t="s">
        <v>66</v>
      </c>
      <c r="C15" s="1" t="s">
        <v>24</v>
      </c>
      <c r="D15" s="5">
        <v>56</v>
      </c>
      <c r="E15" s="1" t="s">
        <v>25</v>
      </c>
      <c r="F15" s="1" t="s">
        <v>18</v>
      </c>
      <c r="G15" s="1">
        <v>2</v>
      </c>
      <c r="H15" s="9">
        <v>14114</v>
      </c>
      <c r="I15" s="8">
        <f t="shared" si="0"/>
        <v>28228</v>
      </c>
      <c r="J15" s="18">
        <v>0.05</v>
      </c>
      <c r="K15" s="8">
        <f t="shared" si="1"/>
        <v>26816.6</v>
      </c>
      <c r="L15" s="14" t="s">
        <v>67</v>
      </c>
      <c r="M15" s="1" t="s">
        <v>20</v>
      </c>
      <c r="N15" s="28" t="s">
        <v>21</v>
      </c>
    </row>
    <row r="16" spans="1:14" x14ac:dyDescent="0.3">
      <c r="A16" s="25" t="s">
        <v>68</v>
      </c>
      <c r="B16" s="1" t="s">
        <v>69</v>
      </c>
      <c r="C16" s="1" t="s">
        <v>16</v>
      </c>
      <c r="D16" s="5">
        <v>45</v>
      </c>
      <c r="E16" s="1" t="s">
        <v>30</v>
      </c>
      <c r="F16" s="1" t="s">
        <v>18</v>
      </c>
      <c r="G16" s="1">
        <v>1</v>
      </c>
      <c r="H16" s="9">
        <v>25590</v>
      </c>
      <c r="I16" s="8">
        <f t="shared" si="0"/>
        <v>25590</v>
      </c>
      <c r="J16" s="18">
        <v>0.2</v>
      </c>
      <c r="K16" s="8">
        <f t="shared" si="1"/>
        <v>20472</v>
      </c>
      <c r="L16" s="14" t="s">
        <v>70</v>
      </c>
      <c r="M16" s="1" t="s">
        <v>45</v>
      </c>
      <c r="N16" s="28" t="s">
        <v>21</v>
      </c>
    </row>
    <row r="17" spans="1:14" x14ac:dyDescent="0.3">
      <c r="A17" s="25" t="s">
        <v>71</v>
      </c>
      <c r="B17" s="1" t="s">
        <v>69</v>
      </c>
      <c r="C17" s="1" t="s">
        <v>16</v>
      </c>
      <c r="D17" s="5">
        <v>20</v>
      </c>
      <c r="E17" s="1" t="s">
        <v>42</v>
      </c>
      <c r="F17" s="1" t="s">
        <v>43</v>
      </c>
      <c r="G17" s="1">
        <v>2</v>
      </c>
      <c r="H17" s="9">
        <v>15682</v>
      </c>
      <c r="I17" s="8">
        <f t="shared" si="0"/>
        <v>31364</v>
      </c>
      <c r="J17" s="18">
        <v>0.15</v>
      </c>
      <c r="K17" s="8">
        <f t="shared" si="1"/>
        <v>26659.4</v>
      </c>
      <c r="L17" s="14" t="s">
        <v>72</v>
      </c>
      <c r="M17" s="1" t="s">
        <v>45</v>
      </c>
      <c r="N17" s="28" t="s">
        <v>21</v>
      </c>
    </row>
    <row r="18" spans="1:14" x14ac:dyDescent="0.3">
      <c r="A18" s="25" t="s">
        <v>73</v>
      </c>
      <c r="B18" s="1" t="s">
        <v>23</v>
      </c>
      <c r="C18" s="1" t="s">
        <v>24</v>
      </c>
      <c r="D18" s="5">
        <v>29</v>
      </c>
      <c r="E18" s="1" t="s">
        <v>59</v>
      </c>
      <c r="F18" s="1" t="s">
        <v>48</v>
      </c>
      <c r="G18" s="1">
        <v>5</v>
      </c>
      <c r="H18" s="9">
        <v>16552</v>
      </c>
      <c r="I18" s="8">
        <f t="shared" si="0"/>
        <v>82760</v>
      </c>
      <c r="J18" s="18">
        <v>0.15</v>
      </c>
      <c r="K18" s="8">
        <f t="shared" si="1"/>
        <v>70346</v>
      </c>
      <c r="L18" s="14" t="s">
        <v>74</v>
      </c>
      <c r="M18" s="1" t="s">
        <v>27</v>
      </c>
      <c r="N18" s="28" t="s">
        <v>21</v>
      </c>
    </row>
    <row r="19" spans="1:14" x14ac:dyDescent="0.3">
      <c r="A19" s="25" t="s">
        <v>75</v>
      </c>
      <c r="B19" s="1" t="s">
        <v>76</v>
      </c>
      <c r="C19" s="1" t="s">
        <v>24</v>
      </c>
      <c r="D19" s="5">
        <v>56</v>
      </c>
      <c r="E19" s="1" t="s">
        <v>30</v>
      </c>
      <c r="F19" s="1" t="s">
        <v>18</v>
      </c>
      <c r="G19" s="1">
        <v>2</v>
      </c>
      <c r="H19" s="9">
        <v>683</v>
      </c>
      <c r="I19" s="8">
        <f t="shared" si="0"/>
        <v>1366</v>
      </c>
      <c r="J19" s="18">
        <v>0</v>
      </c>
      <c r="K19" s="8">
        <f t="shared" si="1"/>
        <v>1366</v>
      </c>
      <c r="L19" s="14" t="s">
        <v>77</v>
      </c>
      <c r="M19" s="1" t="s">
        <v>27</v>
      </c>
      <c r="N19" s="28" t="s">
        <v>21</v>
      </c>
    </row>
    <row r="20" spans="1:14" x14ac:dyDescent="0.3">
      <c r="A20" s="25" t="s">
        <v>78</v>
      </c>
      <c r="B20" s="1" t="s">
        <v>76</v>
      </c>
      <c r="C20" s="1" t="s">
        <v>24</v>
      </c>
      <c r="D20" s="5">
        <v>36</v>
      </c>
      <c r="E20" s="1" t="s">
        <v>17</v>
      </c>
      <c r="F20" s="1" t="s">
        <v>18</v>
      </c>
      <c r="G20" s="1">
        <v>5</v>
      </c>
      <c r="H20" s="9">
        <v>18553</v>
      </c>
      <c r="I20" s="8">
        <f t="shared" si="0"/>
        <v>92765</v>
      </c>
      <c r="J20" s="18">
        <v>0</v>
      </c>
      <c r="K20" s="8">
        <f t="shared" si="1"/>
        <v>92765</v>
      </c>
      <c r="L20" s="14" t="s">
        <v>79</v>
      </c>
      <c r="M20" s="1" t="s">
        <v>20</v>
      </c>
      <c r="N20" s="28" t="s">
        <v>28</v>
      </c>
    </row>
    <row r="21" spans="1:14" x14ac:dyDescent="0.3">
      <c r="A21" s="25" t="s">
        <v>80</v>
      </c>
      <c r="B21" s="1" t="s">
        <v>81</v>
      </c>
      <c r="C21" s="1" t="s">
        <v>24</v>
      </c>
      <c r="D21" s="5">
        <v>30</v>
      </c>
      <c r="E21" s="1" t="s">
        <v>17</v>
      </c>
      <c r="F21" s="1" t="s">
        <v>18</v>
      </c>
      <c r="G21" s="1">
        <v>5</v>
      </c>
      <c r="H21" s="9">
        <v>7205</v>
      </c>
      <c r="I21" s="8">
        <f t="shared" si="0"/>
        <v>36025</v>
      </c>
      <c r="J21" s="18">
        <v>0.15</v>
      </c>
      <c r="K21" s="8">
        <f t="shared" si="1"/>
        <v>30621.25</v>
      </c>
      <c r="L21" s="14" t="s">
        <v>82</v>
      </c>
      <c r="M21" s="1" t="s">
        <v>27</v>
      </c>
      <c r="N21" s="28" t="s">
        <v>28</v>
      </c>
    </row>
    <row r="22" spans="1:14" x14ac:dyDescent="0.3">
      <c r="A22" s="25" t="s">
        <v>83</v>
      </c>
      <c r="B22" s="1" t="s">
        <v>81</v>
      </c>
      <c r="C22" s="1" t="s">
        <v>24</v>
      </c>
      <c r="D22" s="5">
        <v>41</v>
      </c>
      <c r="E22" s="1" t="s">
        <v>25</v>
      </c>
      <c r="F22" s="1" t="s">
        <v>18</v>
      </c>
      <c r="G22" s="1">
        <v>1</v>
      </c>
      <c r="H22" s="9">
        <v>16364</v>
      </c>
      <c r="I22" s="8">
        <f t="shared" si="0"/>
        <v>16364</v>
      </c>
      <c r="J22" s="18">
        <v>0.05</v>
      </c>
      <c r="K22" s="8">
        <f t="shared" si="1"/>
        <v>15545.8</v>
      </c>
      <c r="L22" s="14" t="s">
        <v>84</v>
      </c>
      <c r="M22" s="1" t="s">
        <v>45</v>
      </c>
      <c r="N22" s="28" t="s">
        <v>40</v>
      </c>
    </row>
    <row r="23" spans="1:14" x14ac:dyDescent="0.3">
      <c r="A23" s="25" t="s">
        <v>85</v>
      </c>
      <c r="B23" s="1" t="s">
        <v>34</v>
      </c>
      <c r="C23" s="1" t="s">
        <v>16</v>
      </c>
      <c r="D23" s="5">
        <v>32</v>
      </c>
      <c r="E23" s="1" t="s">
        <v>47</v>
      </c>
      <c r="F23" s="1" t="s">
        <v>48</v>
      </c>
      <c r="G23" s="1">
        <v>2</v>
      </c>
      <c r="H23" s="9">
        <v>26872</v>
      </c>
      <c r="I23" s="8">
        <f t="shared" si="0"/>
        <v>53744</v>
      </c>
      <c r="J23" s="18">
        <v>0.05</v>
      </c>
      <c r="K23" s="8">
        <f t="shared" si="1"/>
        <v>51056.800000000003</v>
      </c>
      <c r="L23" s="14" t="s">
        <v>86</v>
      </c>
      <c r="M23" s="1" t="s">
        <v>27</v>
      </c>
      <c r="N23" s="28" t="s">
        <v>32</v>
      </c>
    </row>
    <row r="24" spans="1:14" x14ac:dyDescent="0.3">
      <c r="A24" s="25" t="s">
        <v>87</v>
      </c>
      <c r="B24" s="1" t="s">
        <v>23</v>
      </c>
      <c r="C24" s="1" t="s">
        <v>24</v>
      </c>
      <c r="D24" s="5">
        <v>48</v>
      </c>
      <c r="E24" s="1" t="s">
        <v>17</v>
      </c>
      <c r="F24" s="1" t="s">
        <v>18</v>
      </c>
      <c r="G24" s="1">
        <v>3</v>
      </c>
      <c r="H24" s="9">
        <v>8647</v>
      </c>
      <c r="I24" s="8">
        <f t="shared" si="0"/>
        <v>25941</v>
      </c>
      <c r="J24" s="18">
        <v>0.15</v>
      </c>
      <c r="K24" s="8">
        <f t="shared" si="1"/>
        <v>22049.85</v>
      </c>
      <c r="L24" s="14" t="s">
        <v>88</v>
      </c>
      <c r="M24" s="1" t="s">
        <v>20</v>
      </c>
      <c r="N24" s="28" t="s">
        <v>32</v>
      </c>
    </row>
    <row r="25" spans="1:14" x14ac:dyDescent="0.3">
      <c r="A25" s="25" t="s">
        <v>89</v>
      </c>
      <c r="B25" s="1" t="s">
        <v>23</v>
      </c>
      <c r="C25" s="1" t="s">
        <v>24</v>
      </c>
      <c r="D25" s="5">
        <v>41</v>
      </c>
      <c r="E25" s="1" t="s">
        <v>25</v>
      </c>
      <c r="F25" s="1" t="s">
        <v>18</v>
      </c>
      <c r="G25" s="1">
        <v>5</v>
      </c>
      <c r="H25" s="9">
        <v>16273</v>
      </c>
      <c r="I25" s="8">
        <f t="shared" si="0"/>
        <v>81365</v>
      </c>
      <c r="J25" s="18">
        <v>0.2</v>
      </c>
      <c r="K25" s="8">
        <f t="shared" si="1"/>
        <v>65092</v>
      </c>
      <c r="L25" s="14" t="s">
        <v>52</v>
      </c>
      <c r="M25" s="1" t="s">
        <v>27</v>
      </c>
      <c r="N25" s="28" t="s">
        <v>32</v>
      </c>
    </row>
    <row r="26" spans="1:14" x14ac:dyDescent="0.3">
      <c r="A26" s="25" t="s">
        <v>90</v>
      </c>
      <c r="B26" s="1" t="s">
        <v>51</v>
      </c>
      <c r="C26" s="1" t="s">
        <v>16</v>
      </c>
      <c r="D26" s="5">
        <v>56</v>
      </c>
      <c r="E26" s="1" t="s">
        <v>30</v>
      </c>
      <c r="F26" s="1" t="s">
        <v>18</v>
      </c>
      <c r="G26" s="1">
        <v>4</v>
      </c>
      <c r="H26" s="9">
        <v>19593</v>
      </c>
      <c r="I26" s="8">
        <f t="shared" si="0"/>
        <v>78372</v>
      </c>
      <c r="J26" s="18">
        <v>0.15</v>
      </c>
      <c r="K26" s="8">
        <f t="shared" si="1"/>
        <v>66616.2</v>
      </c>
      <c r="L26" s="14" t="s">
        <v>91</v>
      </c>
      <c r="M26" s="1" t="s">
        <v>27</v>
      </c>
      <c r="N26" s="28" t="s">
        <v>32</v>
      </c>
    </row>
    <row r="27" spans="1:14" x14ac:dyDescent="0.3">
      <c r="A27" s="25" t="s">
        <v>92</v>
      </c>
      <c r="B27" s="1" t="s">
        <v>93</v>
      </c>
      <c r="C27" s="1" t="s">
        <v>16</v>
      </c>
      <c r="D27" s="5">
        <v>21</v>
      </c>
      <c r="E27" s="1" t="s">
        <v>17</v>
      </c>
      <c r="F27" s="1" t="s">
        <v>18</v>
      </c>
      <c r="G27" s="1">
        <v>4</v>
      </c>
      <c r="H27" s="9">
        <v>14685</v>
      </c>
      <c r="I27" s="8">
        <f t="shared" si="0"/>
        <v>58740</v>
      </c>
      <c r="J27" s="18">
        <v>0.15</v>
      </c>
      <c r="K27" s="8">
        <f t="shared" si="1"/>
        <v>49929</v>
      </c>
      <c r="L27" s="14" t="s">
        <v>94</v>
      </c>
      <c r="M27" s="1" t="s">
        <v>27</v>
      </c>
      <c r="N27" s="28" t="s">
        <v>21</v>
      </c>
    </row>
    <row r="28" spans="1:14" x14ac:dyDescent="0.3">
      <c r="A28" s="25" t="s">
        <v>95</v>
      </c>
      <c r="B28" s="1" t="s">
        <v>23</v>
      </c>
      <c r="C28" s="1" t="s">
        <v>24</v>
      </c>
      <c r="D28" s="5">
        <v>30</v>
      </c>
      <c r="E28" s="1" t="s">
        <v>59</v>
      </c>
      <c r="F28" s="1" t="s">
        <v>48</v>
      </c>
      <c r="G28" s="1">
        <v>5</v>
      </c>
      <c r="H28" s="9">
        <v>1407</v>
      </c>
      <c r="I28" s="8">
        <f t="shared" si="0"/>
        <v>7035</v>
      </c>
      <c r="J28" s="18">
        <v>0</v>
      </c>
      <c r="K28" s="8">
        <f t="shared" si="1"/>
        <v>7035</v>
      </c>
      <c r="L28" s="14" t="s">
        <v>96</v>
      </c>
      <c r="M28" s="1" t="s">
        <v>20</v>
      </c>
      <c r="N28" s="28" t="s">
        <v>32</v>
      </c>
    </row>
    <row r="29" spans="1:14" x14ac:dyDescent="0.3">
      <c r="A29" s="25" t="s">
        <v>97</v>
      </c>
      <c r="B29" s="1" t="s">
        <v>54</v>
      </c>
      <c r="C29" s="1" t="s">
        <v>24</v>
      </c>
      <c r="D29" s="5">
        <v>57</v>
      </c>
      <c r="E29" s="1" t="s">
        <v>47</v>
      </c>
      <c r="F29" s="1" t="s">
        <v>48</v>
      </c>
      <c r="G29" s="1">
        <v>1</v>
      </c>
      <c r="H29" s="9">
        <v>21838</v>
      </c>
      <c r="I29" s="8">
        <f t="shared" si="0"/>
        <v>21838</v>
      </c>
      <c r="J29" s="18">
        <v>0.1</v>
      </c>
      <c r="K29" s="8">
        <f t="shared" si="1"/>
        <v>19654.2</v>
      </c>
      <c r="L29" s="14" t="s">
        <v>98</v>
      </c>
      <c r="M29" s="1" t="s">
        <v>27</v>
      </c>
      <c r="N29" s="28" t="s">
        <v>32</v>
      </c>
    </row>
    <row r="30" spans="1:14" x14ac:dyDescent="0.3">
      <c r="A30" s="25" t="s">
        <v>99</v>
      </c>
      <c r="B30" s="1" t="s">
        <v>66</v>
      </c>
      <c r="C30" s="1" t="s">
        <v>24</v>
      </c>
      <c r="D30" s="5">
        <v>35</v>
      </c>
      <c r="E30" s="1" t="s">
        <v>25</v>
      </c>
      <c r="F30" s="1" t="s">
        <v>18</v>
      </c>
      <c r="G30" s="1">
        <v>4</v>
      </c>
      <c r="H30" s="9">
        <v>9084</v>
      </c>
      <c r="I30" s="8">
        <f t="shared" si="0"/>
        <v>36336</v>
      </c>
      <c r="J30" s="18">
        <v>0.1</v>
      </c>
      <c r="K30" s="8">
        <f t="shared" si="1"/>
        <v>32702.400000000001</v>
      </c>
      <c r="L30" s="14" t="s">
        <v>100</v>
      </c>
      <c r="M30" s="1" t="s">
        <v>36</v>
      </c>
      <c r="N30" s="28" t="s">
        <v>28</v>
      </c>
    </row>
    <row r="31" spans="1:14" x14ac:dyDescent="0.3">
      <c r="A31" s="25" t="s">
        <v>101</v>
      </c>
      <c r="B31" s="1" t="s">
        <v>54</v>
      </c>
      <c r="C31" s="1" t="s">
        <v>24</v>
      </c>
      <c r="D31" s="5">
        <v>49</v>
      </c>
      <c r="E31" s="1" t="s">
        <v>30</v>
      </c>
      <c r="F31" s="1" t="s">
        <v>18</v>
      </c>
      <c r="G31" s="1">
        <v>5</v>
      </c>
      <c r="H31" s="9">
        <v>25063</v>
      </c>
      <c r="I31" s="8">
        <f t="shared" si="0"/>
        <v>125315</v>
      </c>
      <c r="J31" s="18">
        <v>0.05</v>
      </c>
      <c r="K31" s="8">
        <f t="shared" si="1"/>
        <v>119049.25</v>
      </c>
      <c r="L31" s="14" t="s">
        <v>102</v>
      </c>
      <c r="M31" s="1" t="s">
        <v>36</v>
      </c>
      <c r="N31" s="28" t="s">
        <v>40</v>
      </c>
    </row>
    <row r="32" spans="1:14" x14ac:dyDescent="0.3">
      <c r="A32" s="25" t="s">
        <v>103</v>
      </c>
      <c r="B32" s="1" t="s">
        <v>51</v>
      </c>
      <c r="C32" s="1" t="s">
        <v>16</v>
      </c>
      <c r="D32" s="5">
        <v>25</v>
      </c>
      <c r="E32" s="1" t="s">
        <v>47</v>
      </c>
      <c r="F32" s="1" t="s">
        <v>48</v>
      </c>
      <c r="G32" s="1">
        <v>4</v>
      </c>
      <c r="H32" s="9">
        <v>24832</v>
      </c>
      <c r="I32" s="8">
        <f t="shared" si="0"/>
        <v>99328</v>
      </c>
      <c r="J32" s="18">
        <v>0.05</v>
      </c>
      <c r="K32" s="8">
        <f t="shared" si="1"/>
        <v>94361.600000000006</v>
      </c>
      <c r="L32" s="14" t="s">
        <v>49</v>
      </c>
      <c r="M32" s="1" t="s">
        <v>45</v>
      </c>
      <c r="N32" s="28" t="s">
        <v>21</v>
      </c>
    </row>
    <row r="33" spans="1:14" x14ac:dyDescent="0.3">
      <c r="A33" s="25" t="s">
        <v>104</v>
      </c>
      <c r="B33" s="1" t="s">
        <v>51</v>
      </c>
      <c r="C33" s="1" t="s">
        <v>16</v>
      </c>
      <c r="D33" s="5">
        <v>32</v>
      </c>
      <c r="E33" s="1" t="s">
        <v>17</v>
      </c>
      <c r="F33" s="1" t="s">
        <v>18</v>
      </c>
      <c r="G33" s="1">
        <v>1</v>
      </c>
      <c r="H33" s="9">
        <v>6647</v>
      </c>
      <c r="I33" s="8">
        <f t="shared" si="0"/>
        <v>6647</v>
      </c>
      <c r="J33" s="18">
        <v>0</v>
      </c>
      <c r="K33" s="8">
        <f t="shared" si="1"/>
        <v>6647</v>
      </c>
      <c r="L33" s="14" t="s">
        <v>105</v>
      </c>
      <c r="M33" s="1" t="s">
        <v>36</v>
      </c>
      <c r="N33" s="28" t="s">
        <v>32</v>
      </c>
    </row>
    <row r="34" spans="1:14" x14ac:dyDescent="0.3">
      <c r="A34" s="25" t="s">
        <v>106</v>
      </c>
      <c r="B34" s="1" t="s">
        <v>54</v>
      </c>
      <c r="C34" s="1" t="s">
        <v>24</v>
      </c>
      <c r="D34" s="5">
        <v>33</v>
      </c>
      <c r="E34" s="1" t="s">
        <v>25</v>
      </c>
      <c r="F34" s="1" t="s">
        <v>18</v>
      </c>
      <c r="G34" s="1">
        <v>1</v>
      </c>
      <c r="H34" s="9">
        <v>15009</v>
      </c>
      <c r="I34" s="8">
        <f t="shared" si="0"/>
        <v>15009</v>
      </c>
      <c r="J34" s="18">
        <v>0</v>
      </c>
      <c r="K34" s="8">
        <f t="shared" si="1"/>
        <v>15009</v>
      </c>
      <c r="L34" s="14" t="s">
        <v>107</v>
      </c>
      <c r="M34" s="1" t="s">
        <v>20</v>
      </c>
      <c r="N34" s="28" t="s">
        <v>32</v>
      </c>
    </row>
    <row r="35" spans="1:14" x14ac:dyDescent="0.3">
      <c r="A35" s="25" t="s">
        <v>108</v>
      </c>
      <c r="B35" s="1" t="s">
        <v>81</v>
      </c>
      <c r="C35" s="1" t="s">
        <v>24</v>
      </c>
      <c r="D35" s="5">
        <v>46</v>
      </c>
      <c r="E35" s="1" t="s">
        <v>30</v>
      </c>
      <c r="F35" s="1" t="s">
        <v>18</v>
      </c>
      <c r="G35" s="1">
        <v>3</v>
      </c>
      <c r="H35" s="9">
        <v>7993</v>
      </c>
      <c r="I35" s="8">
        <f t="shared" si="0"/>
        <v>23979</v>
      </c>
      <c r="J35" s="18">
        <v>0.05</v>
      </c>
      <c r="K35" s="8">
        <f t="shared" si="1"/>
        <v>22780.05</v>
      </c>
      <c r="L35" s="14" t="s">
        <v>109</v>
      </c>
      <c r="M35" s="1" t="s">
        <v>36</v>
      </c>
      <c r="N35" s="28" t="s">
        <v>40</v>
      </c>
    </row>
    <row r="36" spans="1:14" x14ac:dyDescent="0.3">
      <c r="A36" s="25" t="s">
        <v>110</v>
      </c>
      <c r="B36" s="1" t="s">
        <v>93</v>
      </c>
      <c r="C36" s="1" t="s">
        <v>16</v>
      </c>
      <c r="D36" s="5">
        <v>42</v>
      </c>
      <c r="E36" s="1" t="s">
        <v>42</v>
      </c>
      <c r="F36" s="1" t="s">
        <v>43</v>
      </c>
      <c r="G36" s="1">
        <v>2</v>
      </c>
      <c r="H36" s="9">
        <v>1799</v>
      </c>
      <c r="I36" s="8">
        <f t="shared" si="0"/>
        <v>3598</v>
      </c>
      <c r="J36" s="18">
        <v>0.1</v>
      </c>
      <c r="K36" s="8">
        <f t="shared" si="1"/>
        <v>3238.2</v>
      </c>
      <c r="L36" s="14" t="s">
        <v>111</v>
      </c>
      <c r="M36" s="1" t="s">
        <v>27</v>
      </c>
      <c r="N36" s="28" t="s">
        <v>32</v>
      </c>
    </row>
    <row r="37" spans="1:14" x14ac:dyDescent="0.3">
      <c r="A37" s="25" t="s">
        <v>112</v>
      </c>
      <c r="B37" s="1" t="s">
        <v>76</v>
      </c>
      <c r="C37" s="1" t="s">
        <v>24</v>
      </c>
      <c r="D37" s="5">
        <v>57</v>
      </c>
      <c r="E37" s="1" t="s">
        <v>47</v>
      </c>
      <c r="F37" s="1" t="s">
        <v>48</v>
      </c>
      <c r="G37" s="1">
        <v>5</v>
      </c>
      <c r="H37" s="9">
        <v>26293</v>
      </c>
      <c r="I37" s="8">
        <f t="shared" si="0"/>
        <v>131465</v>
      </c>
      <c r="J37" s="18">
        <v>0.05</v>
      </c>
      <c r="K37" s="8">
        <f t="shared" si="1"/>
        <v>124891.75</v>
      </c>
      <c r="L37" s="14" t="s">
        <v>57</v>
      </c>
      <c r="M37" s="1" t="s">
        <v>20</v>
      </c>
      <c r="N37" s="28" t="s">
        <v>32</v>
      </c>
    </row>
    <row r="38" spans="1:14" x14ac:dyDescent="0.3">
      <c r="A38" s="25" t="s">
        <v>113</v>
      </c>
      <c r="B38" s="1" t="s">
        <v>34</v>
      </c>
      <c r="C38" s="1" t="s">
        <v>16</v>
      </c>
      <c r="D38" s="5">
        <v>51</v>
      </c>
      <c r="E38" s="1" t="s">
        <v>38</v>
      </c>
      <c r="F38" s="1" t="s">
        <v>39</v>
      </c>
      <c r="G38" s="1">
        <v>4</v>
      </c>
      <c r="H38" s="9">
        <v>8813</v>
      </c>
      <c r="I38" s="8">
        <f t="shared" si="0"/>
        <v>35252</v>
      </c>
      <c r="J38" s="18">
        <v>0.2</v>
      </c>
      <c r="K38" s="8">
        <f t="shared" si="1"/>
        <v>28201.599999999999</v>
      </c>
      <c r="L38" s="14" t="s">
        <v>114</v>
      </c>
      <c r="M38" s="1" t="s">
        <v>45</v>
      </c>
      <c r="N38" s="28" t="s">
        <v>40</v>
      </c>
    </row>
    <row r="39" spans="1:14" x14ac:dyDescent="0.3">
      <c r="A39" s="25" t="s">
        <v>115</v>
      </c>
      <c r="B39" s="1" t="s">
        <v>51</v>
      </c>
      <c r="C39" s="1" t="s">
        <v>16</v>
      </c>
      <c r="D39" s="5">
        <v>59</v>
      </c>
      <c r="E39" s="1" t="s">
        <v>17</v>
      </c>
      <c r="F39" s="1" t="s">
        <v>18</v>
      </c>
      <c r="G39" s="1">
        <v>5</v>
      </c>
      <c r="H39" s="9">
        <v>24450</v>
      </c>
      <c r="I39" s="8">
        <f t="shared" si="0"/>
        <v>122250</v>
      </c>
      <c r="J39" s="18">
        <v>0.1</v>
      </c>
      <c r="K39" s="8">
        <f t="shared" si="1"/>
        <v>110025</v>
      </c>
      <c r="L39" s="14" t="s">
        <v>116</v>
      </c>
      <c r="M39" s="1" t="s">
        <v>36</v>
      </c>
      <c r="N39" s="28" t="s">
        <v>40</v>
      </c>
    </row>
    <row r="40" spans="1:14" x14ac:dyDescent="0.3">
      <c r="A40" s="25" t="s">
        <v>117</v>
      </c>
      <c r="B40" s="1" t="s">
        <v>23</v>
      </c>
      <c r="C40" s="1" t="s">
        <v>24</v>
      </c>
      <c r="D40" s="5">
        <v>41</v>
      </c>
      <c r="E40" s="1" t="s">
        <v>42</v>
      </c>
      <c r="F40" s="1" t="s">
        <v>43</v>
      </c>
      <c r="G40" s="1">
        <v>5</v>
      </c>
      <c r="H40" s="9">
        <v>9016</v>
      </c>
      <c r="I40" s="8">
        <f t="shared" si="0"/>
        <v>45080</v>
      </c>
      <c r="J40" s="18">
        <v>0.05</v>
      </c>
      <c r="K40" s="8">
        <f t="shared" si="1"/>
        <v>42826</v>
      </c>
      <c r="L40" s="14" t="s">
        <v>118</v>
      </c>
      <c r="M40" s="1" t="s">
        <v>45</v>
      </c>
      <c r="N40" s="28" t="s">
        <v>40</v>
      </c>
    </row>
    <row r="41" spans="1:14" x14ac:dyDescent="0.3">
      <c r="A41" s="25" t="s">
        <v>119</v>
      </c>
      <c r="B41" s="1" t="s">
        <v>15</v>
      </c>
      <c r="C41" s="1" t="s">
        <v>16</v>
      </c>
      <c r="D41" s="5">
        <v>47</v>
      </c>
      <c r="E41" s="1" t="s">
        <v>59</v>
      </c>
      <c r="F41" s="1" t="s">
        <v>48</v>
      </c>
      <c r="G41" s="1">
        <v>1</v>
      </c>
      <c r="H41" s="9">
        <v>14298</v>
      </c>
      <c r="I41" s="8">
        <f t="shared" si="0"/>
        <v>14298</v>
      </c>
      <c r="J41" s="18">
        <v>0.15</v>
      </c>
      <c r="K41" s="8">
        <f t="shared" si="1"/>
        <v>12153.3</v>
      </c>
      <c r="L41" s="14" t="s">
        <v>57</v>
      </c>
      <c r="M41" s="1" t="s">
        <v>36</v>
      </c>
      <c r="N41" s="28" t="s">
        <v>28</v>
      </c>
    </row>
    <row r="42" spans="1:14" x14ac:dyDescent="0.3">
      <c r="A42" s="25" t="s">
        <v>120</v>
      </c>
      <c r="B42" s="1" t="s">
        <v>76</v>
      </c>
      <c r="C42" s="1" t="s">
        <v>24</v>
      </c>
      <c r="D42" s="5">
        <v>51</v>
      </c>
      <c r="E42" s="1" t="s">
        <v>38</v>
      </c>
      <c r="F42" s="1" t="s">
        <v>39</v>
      </c>
      <c r="G42" s="1">
        <v>3</v>
      </c>
      <c r="H42" s="9">
        <v>2331</v>
      </c>
      <c r="I42" s="8">
        <f t="shared" si="0"/>
        <v>6993</v>
      </c>
      <c r="J42" s="18">
        <v>0.2</v>
      </c>
      <c r="K42" s="8">
        <f t="shared" si="1"/>
        <v>5594.4</v>
      </c>
      <c r="L42" s="14" t="s">
        <v>121</v>
      </c>
      <c r="M42" s="1" t="s">
        <v>45</v>
      </c>
      <c r="N42" s="28" t="s">
        <v>21</v>
      </c>
    </row>
    <row r="43" spans="1:14" x14ac:dyDescent="0.3">
      <c r="A43" s="25" t="s">
        <v>122</v>
      </c>
      <c r="B43" s="1" t="s">
        <v>54</v>
      </c>
      <c r="C43" s="1" t="s">
        <v>24</v>
      </c>
      <c r="D43" s="5">
        <v>29</v>
      </c>
      <c r="E43" s="1" t="s">
        <v>25</v>
      </c>
      <c r="F43" s="1" t="s">
        <v>18</v>
      </c>
      <c r="G43" s="1">
        <v>3</v>
      </c>
      <c r="H43" s="9">
        <v>19966</v>
      </c>
      <c r="I43" s="8">
        <f t="shared" si="0"/>
        <v>59898</v>
      </c>
      <c r="J43" s="18">
        <v>0.2</v>
      </c>
      <c r="K43" s="8">
        <f t="shared" si="1"/>
        <v>47918.400000000001</v>
      </c>
      <c r="L43" s="14" t="s">
        <v>123</v>
      </c>
      <c r="M43" s="1" t="s">
        <v>45</v>
      </c>
      <c r="N43" s="28" t="s">
        <v>40</v>
      </c>
    </row>
    <row r="44" spans="1:14" x14ac:dyDescent="0.3">
      <c r="A44" s="25" t="s">
        <v>124</v>
      </c>
      <c r="B44" s="1" t="s">
        <v>66</v>
      </c>
      <c r="C44" s="1" t="s">
        <v>24</v>
      </c>
      <c r="D44" s="5">
        <v>20</v>
      </c>
      <c r="E44" s="1" t="s">
        <v>38</v>
      </c>
      <c r="F44" s="1" t="s">
        <v>39</v>
      </c>
      <c r="G44" s="1">
        <v>5</v>
      </c>
      <c r="H44" s="9">
        <v>3613</v>
      </c>
      <c r="I44" s="8">
        <f t="shared" si="0"/>
        <v>18065</v>
      </c>
      <c r="J44" s="18">
        <v>0.15</v>
      </c>
      <c r="K44" s="8">
        <f t="shared" si="1"/>
        <v>15355.25</v>
      </c>
      <c r="L44" s="14" t="s">
        <v>44</v>
      </c>
      <c r="M44" s="1" t="s">
        <v>20</v>
      </c>
      <c r="N44" s="28" t="s">
        <v>32</v>
      </c>
    </row>
    <row r="45" spans="1:14" x14ac:dyDescent="0.3">
      <c r="A45" s="25" t="s">
        <v>125</v>
      </c>
      <c r="B45" s="1" t="s">
        <v>15</v>
      </c>
      <c r="C45" s="1" t="s">
        <v>16</v>
      </c>
      <c r="D45" s="5">
        <v>26</v>
      </c>
      <c r="E45" s="1" t="s">
        <v>47</v>
      </c>
      <c r="F45" s="1" t="s">
        <v>48</v>
      </c>
      <c r="G45" s="1">
        <v>5</v>
      </c>
      <c r="H45" s="9">
        <v>13870</v>
      </c>
      <c r="I45" s="8">
        <f t="shared" si="0"/>
        <v>69350</v>
      </c>
      <c r="J45" s="18">
        <v>0.1</v>
      </c>
      <c r="K45" s="8">
        <f t="shared" si="1"/>
        <v>62415</v>
      </c>
      <c r="L45" s="14" t="s">
        <v>126</v>
      </c>
      <c r="M45" s="1" t="s">
        <v>45</v>
      </c>
      <c r="N45" s="28" t="s">
        <v>28</v>
      </c>
    </row>
    <row r="46" spans="1:14" x14ac:dyDescent="0.3">
      <c r="A46" s="25" t="s">
        <v>127</v>
      </c>
      <c r="B46" s="1" t="s">
        <v>34</v>
      </c>
      <c r="C46" s="1" t="s">
        <v>16</v>
      </c>
      <c r="D46" s="5">
        <v>57</v>
      </c>
      <c r="E46" s="1" t="s">
        <v>38</v>
      </c>
      <c r="F46" s="1" t="s">
        <v>39</v>
      </c>
      <c r="G46" s="1">
        <v>3</v>
      </c>
      <c r="H46" s="9">
        <v>8496</v>
      </c>
      <c r="I46" s="8">
        <f t="shared" si="0"/>
        <v>25488</v>
      </c>
      <c r="J46" s="18">
        <v>0.1</v>
      </c>
      <c r="K46" s="8">
        <f t="shared" si="1"/>
        <v>22939.200000000001</v>
      </c>
      <c r="L46" s="14" t="s">
        <v>128</v>
      </c>
      <c r="M46" s="1" t="s">
        <v>36</v>
      </c>
      <c r="N46" s="28" t="s">
        <v>28</v>
      </c>
    </row>
    <row r="47" spans="1:14" x14ac:dyDescent="0.3">
      <c r="A47" s="25" t="s">
        <v>129</v>
      </c>
      <c r="B47" s="1" t="s">
        <v>81</v>
      </c>
      <c r="C47" s="1" t="s">
        <v>24</v>
      </c>
      <c r="D47" s="5">
        <v>26</v>
      </c>
      <c r="E47" s="1" t="s">
        <v>130</v>
      </c>
      <c r="F47" s="1" t="s">
        <v>39</v>
      </c>
      <c r="G47" s="1">
        <v>3</v>
      </c>
      <c r="H47" s="9">
        <v>24180</v>
      </c>
      <c r="I47" s="8">
        <f t="shared" si="0"/>
        <v>72540</v>
      </c>
      <c r="J47" s="18">
        <v>0.2</v>
      </c>
      <c r="K47" s="8">
        <f t="shared" si="1"/>
        <v>58032</v>
      </c>
      <c r="L47" s="14" t="s">
        <v>64</v>
      </c>
      <c r="M47" s="1" t="s">
        <v>20</v>
      </c>
      <c r="N47" s="28" t="s">
        <v>21</v>
      </c>
    </row>
    <row r="48" spans="1:14" x14ac:dyDescent="0.3">
      <c r="A48" s="25" t="s">
        <v>131</v>
      </c>
      <c r="B48" s="1" t="s">
        <v>51</v>
      </c>
      <c r="C48" s="1" t="s">
        <v>16</v>
      </c>
      <c r="D48" s="5">
        <v>24</v>
      </c>
      <c r="E48" s="1" t="s">
        <v>130</v>
      </c>
      <c r="F48" s="1" t="s">
        <v>39</v>
      </c>
      <c r="G48" s="1">
        <v>3</v>
      </c>
      <c r="H48" s="9">
        <v>11024</v>
      </c>
      <c r="I48" s="8">
        <f t="shared" si="0"/>
        <v>33072</v>
      </c>
      <c r="J48" s="18">
        <v>0.2</v>
      </c>
      <c r="K48" s="8">
        <f t="shared" si="1"/>
        <v>26457.599999999999</v>
      </c>
      <c r="L48" s="14" t="s">
        <v>132</v>
      </c>
      <c r="M48" s="1" t="s">
        <v>45</v>
      </c>
      <c r="N48" s="28" t="s">
        <v>32</v>
      </c>
    </row>
    <row r="49" spans="1:14" x14ac:dyDescent="0.3">
      <c r="A49" s="25" t="s">
        <v>133</v>
      </c>
      <c r="B49" s="1" t="s">
        <v>34</v>
      </c>
      <c r="C49" s="1" t="s">
        <v>16</v>
      </c>
      <c r="D49" s="5">
        <v>60</v>
      </c>
      <c r="E49" s="1" t="s">
        <v>130</v>
      </c>
      <c r="F49" s="1" t="s">
        <v>39</v>
      </c>
      <c r="G49" s="1">
        <v>3</v>
      </c>
      <c r="H49" s="9">
        <v>6898</v>
      </c>
      <c r="I49" s="8">
        <f t="shared" si="0"/>
        <v>20694</v>
      </c>
      <c r="J49" s="18">
        <v>0.1</v>
      </c>
      <c r="K49" s="8">
        <f t="shared" si="1"/>
        <v>18624.599999999999</v>
      </c>
      <c r="L49" s="14" t="s">
        <v>134</v>
      </c>
      <c r="M49" s="1" t="s">
        <v>27</v>
      </c>
      <c r="N49" s="28" t="s">
        <v>21</v>
      </c>
    </row>
    <row r="50" spans="1:14" x14ac:dyDescent="0.3">
      <c r="A50" s="25" t="s">
        <v>135</v>
      </c>
      <c r="B50" s="1" t="s">
        <v>66</v>
      </c>
      <c r="C50" s="1" t="s">
        <v>24</v>
      </c>
      <c r="D50" s="5">
        <v>43</v>
      </c>
      <c r="E50" s="1" t="s">
        <v>42</v>
      </c>
      <c r="F50" s="1" t="s">
        <v>43</v>
      </c>
      <c r="G50" s="1">
        <v>3</v>
      </c>
      <c r="H50" s="9">
        <v>9894</v>
      </c>
      <c r="I50" s="8">
        <f t="shared" si="0"/>
        <v>29682</v>
      </c>
      <c r="J50" s="18">
        <v>0.2</v>
      </c>
      <c r="K50" s="8">
        <f t="shared" si="1"/>
        <v>23745.599999999999</v>
      </c>
      <c r="L50" s="14" t="s">
        <v>136</v>
      </c>
      <c r="M50" s="1" t="s">
        <v>27</v>
      </c>
      <c r="N50" s="28" t="s">
        <v>21</v>
      </c>
    </row>
    <row r="51" spans="1:14" x14ac:dyDescent="0.3">
      <c r="A51" s="25" t="s">
        <v>137</v>
      </c>
      <c r="B51" s="1" t="s">
        <v>34</v>
      </c>
      <c r="C51" s="1" t="s">
        <v>16</v>
      </c>
      <c r="D51" s="5">
        <v>57</v>
      </c>
      <c r="E51" s="1" t="s">
        <v>59</v>
      </c>
      <c r="F51" s="1" t="s">
        <v>48</v>
      </c>
      <c r="G51" s="1">
        <v>5</v>
      </c>
      <c r="H51" s="9">
        <v>24005</v>
      </c>
      <c r="I51" s="8">
        <f t="shared" si="0"/>
        <v>120025</v>
      </c>
      <c r="J51" s="18">
        <v>0.2</v>
      </c>
      <c r="K51" s="8">
        <f t="shared" si="1"/>
        <v>96020</v>
      </c>
      <c r="L51" s="14" t="s">
        <v>138</v>
      </c>
      <c r="M51" s="1" t="s">
        <v>27</v>
      </c>
      <c r="N51" s="28" t="s">
        <v>21</v>
      </c>
    </row>
    <row r="52" spans="1:14" x14ac:dyDescent="0.3">
      <c r="A52" s="25" t="s">
        <v>139</v>
      </c>
      <c r="B52" s="1" t="s">
        <v>81</v>
      </c>
      <c r="C52" s="1" t="s">
        <v>24</v>
      </c>
      <c r="D52" s="5">
        <v>51</v>
      </c>
      <c r="E52" s="1" t="s">
        <v>38</v>
      </c>
      <c r="F52" s="1" t="s">
        <v>39</v>
      </c>
      <c r="G52" s="1">
        <v>2</v>
      </c>
      <c r="H52" s="9">
        <v>20375</v>
      </c>
      <c r="I52" s="8">
        <f t="shared" si="0"/>
        <v>40750</v>
      </c>
      <c r="J52" s="18">
        <v>0.15</v>
      </c>
      <c r="K52" s="8">
        <f t="shared" si="1"/>
        <v>34637.5</v>
      </c>
      <c r="L52" s="14" t="s">
        <v>140</v>
      </c>
      <c r="M52" s="1" t="s">
        <v>27</v>
      </c>
      <c r="N52" s="28" t="s">
        <v>40</v>
      </c>
    </row>
    <row r="53" spans="1:14" x14ac:dyDescent="0.3">
      <c r="A53" s="25" t="s">
        <v>141</v>
      </c>
      <c r="B53" s="1" t="s">
        <v>66</v>
      </c>
      <c r="C53" s="1" t="s">
        <v>24</v>
      </c>
      <c r="D53" s="5">
        <v>50</v>
      </c>
      <c r="E53" s="1" t="s">
        <v>130</v>
      </c>
      <c r="F53" s="1" t="s">
        <v>39</v>
      </c>
      <c r="G53" s="1">
        <v>1</v>
      </c>
      <c r="H53" s="9">
        <v>26853</v>
      </c>
      <c r="I53" s="8">
        <f t="shared" si="0"/>
        <v>26853</v>
      </c>
      <c r="J53" s="18">
        <v>0</v>
      </c>
      <c r="K53" s="8">
        <f t="shared" si="1"/>
        <v>26853</v>
      </c>
      <c r="L53" s="14" t="s">
        <v>142</v>
      </c>
      <c r="M53" s="1" t="s">
        <v>27</v>
      </c>
      <c r="N53" s="28" t="s">
        <v>32</v>
      </c>
    </row>
    <row r="54" spans="1:14" x14ac:dyDescent="0.3">
      <c r="A54" s="25" t="s">
        <v>143</v>
      </c>
      <c r="B54" s="1" t="s">
        <v>69</v>
      </c>
      <c r="C54" s="1" t="s">
        <v>16</v>
      </c>
      <c r="D54" s="5">
        <v>39</v>
      </c>
      <c r="E54" s="1" t="s">
        <v>42</v>
      </c>
      <c r="F54" s="1" t="s">
        <v>43</v>
      </c>
      <c r="G54" s="1">
        <v>5</v>
      </c>
      <c r="H54" s="9">
        <v>22819</v>
      </c>
      <c r="I54" s="8">
        <f t="shared" si="0"/>
        <v>114095</v>
      </c>
      <c r="J54" s="18">
        <v>0</v>
      </c>
      <c r="K54" s="8">
        <f t="shared" si="1"/>
        <v>114095</v>
      </c>
      <c r="L54" s="14" t="s">
        <v>144</v>
      </c>
      <c r="M54" s="1" t="s">
        <v>20</v>
      </c>
      <c r="N54" s="28" t="s">
        <v>32</v>
      </c>
    </row>
    <row r="55" spans="1:14" x14ac:dyDescent="0.3">
      <c r="A55" s="25" t="s">
        <v>145</v>
      </c>
      <c r="B55" s="1" t="s">
        <v>34</v>
      </c>
      <c r="C55" s="1" t="s">
        <v>16</v>
      </c>
      <c r="D55" s="5">
        <v>35</v>
      </c>
      <c r="E55" s="1" t="s">
        <v>38</v>
      </c>
      <c r="F55" s="1" t="s">
        <v>39</v>
      </c>
      <c r="G55" s="1">
        <v>5</v>
      </c>
      <c r="H55" s="9">
        <v>10301</v>
      </c>
      <c r="I55" s="8">
        <f t="shared" si="0"/>
        <v>51505</v>
      </c>
      <c r="J55" s="18">
        <v>0.05</v>
      </c>
      <c r="K55" s="8">
        <f t="shared" si="1"/>
        <v>48929.75</v>
      </c>
      <c r="L55" s="14" t="s">
        <v>146</v>
      </c>
      <c r="M55" s="1" t="s">
        <v>27</v>
      </c>
      <c r="N55" s="28" t="s">
        <v>40</v>
      </c>
    </row>
    <row r="56" spans="1:14" x14ac:dyDescent="0.3">
      <c r="A56" s="25" t="s">
        <v>147</v>
      </c>
      <c r="B56" s="1" t="s">
        <v>93</v>
      </c>
      <c r="C56" s="1" t="s">
        <v>16</v>
      </c>
      <c r="D56" s="5">
        <v>37</v>
      </c>
      <c r="E56" s="1" t="s">
        <v>30</v>
      </c>
      <c r="F56" s="1" t="s">
        <v>18</v>
      </c>
      <c r="G56" s="1">
        <v>3</v>
      </c>
      <c r="H56" s="9">
        <v>5784</v>
      </c>
      <c r="I56" s="8">
        <f t="shared" si="0"/>
        <v>17352</v>
      </c>
      <c r="J56" s="18">
        <v>0.2</v>
      </c>
      <c r="K56" s="8">
        <f t="shared" si="1"/>
        <v>13881.6</v>
      </c>
      <c r="L56" s="14" t="s">
        <v>148</v>
      </c>
      <c r="M56" s="1" t="s">
        <v>45</v>
      </c>
      <c r="N56" s="28" t="s">
        <v>32</v>
      </c>
    </row>
    <row r="57" spans="1:14" x14ac:dyDescent="0.3">
      <c r="A57" s="25" t="s">
        <v>149</v>
      </c>
      <c r="B57" s="1" t="s">
        <v>34</v>
      </c>
      <c r="C57" s="1" t="s">
        <v>16</v>
      </c>
      <c r="D57" s="5">
        <v>21</v>
      </c>
      <c r="E57" s="1" t="s">
        <v>17</v>
      </c>
      <c r="F57" s="1" t="s">
        <v>18</v>
      </c>
      <c r="G57" s="1">
        <v>5</v>
      </c>
      <c r="H57" s="9">
        <v>19529</v>
      </c>
      <c r="I57" s="8">
        <f t="shared" si="0"/>
        <v>97645</v>
      </c>
      <c r="J57" s="18">
        <v>0.15</v>
      </c>
      <c r="K57" s="8">
        <f t="shared" si="1"/>
        <v>82998.25</v>
      </c>
      <c r="L57" s="14" t="s">
        <v>150</v>
      </c>
      <c r="M57" s="1" t="s">
        <v>27</v>
      </c>
      <c r="N57" s="28" t="s">
        <v>40</v>
      </c>
    </row>
    <row r="58" spans="1:14" x14ac:dyDescent="0.3">
      <c r="A58" s="25" t="s">
        <v>151</v>
      </c>
      <c r="B58" s="1" t="s">
        <v>54</v>
      </c>
      <c r="C58" s="1" t="s">
        <v>24</v>
      </c>
      <c r="D58" s="5">
        <v>52</v>
      </c>
      <c r="E58" s="1" t="s">
        <v>30</v>
      </c>
      <c r="F58" s="1" t="s">
        <v>18</v>
      </c>
      <c r="G58" s="1">
        <v>2</v>
      </c>
      <c r="H58" s="9">
        <v>17504</v>
      </c>
      <c r="I58" s="8">
        <f t="shared" si="0"/>
        <v>35008</v>
      </c>
      <c r="J58" s="18">
        <v>0.1</v>
      </c>
      <c r="K58" s="8">
        <f t="shared" si="1"/>
        <v>31507.200000000001</v>
      </c>
      <c r="L58" s="14" t="s">
        <v>152</v>
      </c>
      <c r="M58" s="1" t="s">
        <v>36</v>
      </c>
      <c r="N58" s="28" t="s">
        <v>40</v>
      </c>
    </row>
    <row r="59" spans="1:14" x14ac:dyDescent="0.3">
      <c r="A59" s="25" t="s">
        <v>153</v>
      </c>
      <c r="B59" s="1" t="s">
        <v>76</v>
      </c>
      <c r="C59" s="1" t="s">
        <v>24</v>
      </c>
      <c r="D59" s="5">
        <v>54</v>
      </c>
      <c r="E59" s="1" t="s">
        <v>130</v>
      </c>
      <c r="F59" s="1" t="s">
        <v>39</v>
      </c>
      <c r="G59" s="1">
        <v>5</v>
      </c>
      <c r="H59" s="9">
        <v>7946</v>
      </c>
      <c r="I59" s="8">
        <f t="shared" si="0"/>
        <v>39730</v>
      </c>
      <c r="J59" s="18">
        <v>0</v>
      </c>
      <c r="K59" s="8">
        <f t="shared" si="1"/>
        <v>39730</v>
      </c>
      <c r="L59" s="14" t="s">
        <v>154</v>
      </c>
      <c r="M59" s="1" t="s">
        <v>45</v>
      </c>
      <c r="N59" s="28" t="s">
        <v>32</v>
      </c>
    </row>
    <row r="60" spans="1:14" x14ac:dyDescent="0.3">
      <c r="A60" s="25" t="s">
        <v>155</v>
      </c>
      <c r="B60" s="1" t="s">
        <v>76</v>
      </c>
      <c r="C60" s="1" t="s">
        <v>24</v>
      </c>
      <c r="D60" s="5">
        <v>32</v>
      </c>
      <c r="E60" s="1" t="s">
        <v>130</v>
      </c>
      <c r="F60" s="1" t="s">
        <v>39</v>
      </c>
      <c r="G60" s="1">
        <v>3</v>
      </c>
      <c r="H60" s="9">
        <v>3546</v>
      </c>
      <c r="I60" s="8">
        <f t="shared" si="0"/>
        <v>10638</v>
      </c>
      <c r="J60" s="18">
        <v>0.2</v>
      </c>
      <c r="K60" s="8">
        <f t="shared" si="1"/>
        <v>8510.4</v>
      </c>
      <c r="L60" s="14" t="s">
        <v>156</v>
      </c>
      <c r="M60" s="1" t="s">
        <v>36</v>
      </c>
      <c r="N60" s="28" t="s">
        <v>28</v>
      </c>
    </row>
    <row r="61" spans="1:14" x14ac:dyDescent="0.3">
      <c r="A61" s="25" t="s">
        <v>157</v>
      </c>
      <c r="B61" s="1" t="s">
        <v>23</v>
      </c>
      <c r="C61" s="1" t="s">
        <v>24</v>
      </c>
      <c r="D61" s="5">
        <v>34</v>
      </c>
      <c r="E61" s="1" t="s">
        <v>38</v>
      </c>
      <c r="F61" s="1" t="s">
        <v>39</v>
      </c>
      <c r="G61" s="1">
        <v>5</v>
      </c>
      <c r="H61" s="9">
        <v>11976</v>
      </c>
      <c r="I61" s="8">
        <f t="shared" si="0"/>
        <v>59880</v>
      </c>
      <c r="J61" s="18">
        <v>0.05</v>
      </c>
      <c r="K61" s="8">
        <f t="shared" si="1"/>
        <v>56886</v>
      </c>
      <c r="L61" s="14" t="s">
        <v>158</v>
      </c>
      <c r="M61" s="1" t="s">
        <v>27</v>
      </c>
      <c r="N61" s="28" t="s">
        <v>32</v>
      </c>
    </row>
    <row r="62" spans="1:14" x14ac:dyDescent="0.3">
      <c r="A62" s="25" t="s">
        <v>159</v>
      </c>
      <c r="B62" s="1" t="s">
        <v>34</v>
      </c>
      <c r="C62" s="1" t="s">
        <v>16</v>
      </c>
      <c r="D62" s="5">
        <v>50</v>
      </c>
      <c r="E62" s="1" t="s">
        <v>59</v>
      </c>
      <c r="F62" s="1" t="s">
        <v>48</v>
      </c>
      <c r="G62" s="1">
        <v>3</v>
      </c>
      <c r="H62" s="9">
        <v>8161</v>
      </c>
      <c r="I62" s="8">
        <f t="shared" si="0"/>
        <v>24483</v>
      </c>
      <c r="J62" s="18">
        <v>0.2</v>
      </c>
      <c r="K62" s="8">
        <f t="shared" si="1"/>
        <v>19586.400000000001</v>
      </c>
      <c r="L62" s="14" t="s">
        <v>160</v>
      </c>
      <c r="M62" s="1" t="s">
        <v>45</v>
      </c>
      <c r="N62" s="28" t="s">
        <v>40</v>
      </c>
    </row>
    <row r="63" spans="1:14" x14ac:dyDescent="0.3">
      <c r="A63" s="25" t="s">
        <v>161</v>
      </c>
      <c r="B63" s="1" t="s">
        <v>69</v>
      </c>
      <c r="C63" s="1" t="s">
        <v>16</v>
      </c>
      <c r="D63" s="5">
        <v>58</v>
      </c>
      <c r="E63" s="1" t="s">
        <v>38</v>
      </c>
      <c r="F63" s="1" t="s">
        <v>39</v>
      </c>
      <c r="G63" s="1">
        <v>4</v>
      </c>
      <c r="H63" s="9">
        <v>14742</v>
      </c>
      <c r="I63" s="8">
        <f t="shared" si="0"/>
        <v>58968</v>
      </c>
      <c r="J63" s="18">
        <v>0.05</v>
      </c>
      <c r="K63" s="8">
        <f t="shared" si="1"/>
        <v>56019.6</v>
      </c>
      <c r="L63" s="14" t="s">
        <v>162</v>
      </c>
      <c r="M63" s="1" t="s">
        <v>27</v>
      </c>
      <c r="N63" s="28" t="s">
        <v>28</v>
      </c>
    </row>
    <row r="64" spans="1:14" x14ac:dyDescent="0.3">
      <c r="A64" s="25" t="s">
        <v>163</v>
      </c>
      <c r="B64" s="1" t="s">
        <v>51</v>
      </c>
      <c r="C64" s="1" t="s">
        <v>16</v>
      </c>
      <c r="D64" s="5">
        <v>54</v>
      </c>
      <c r="E64" s="1" t="s">
        <v>38</v>
      </c>
      <c r="F64" s="1" t="s">
        <v>39</v>
      </c>
      <c r="G64" s="1">
        <v>5</v>
      </c>
      <c r="H64" s="9">
        <v>16023</v>
      </c>
      <c r="I64" s="8">
        <f t="shared" si="0"/>
        <v>80115</v>
      </c>
      <c r="J64" s="18">
        <v>0.1</v>
      </c>
      <c r="K64" s="8">
        <f t="shared" si="1"/>
        <v>72103.5</v>
      </c>
      <c r="L64" s="14" t="s">
        <v>164</v>
      </c>
      <c r="M64" s="1" t="s">
        <v>36</v>
      </c>
      <c r="N64" s="28" t="s">
        <v>40</v>
      </c>
    </row>
    <row r="65" spans="1:14" x14ac:dyDescent="0.3">
      <c r="A65" s="25" t="s">
        <v>165</v>
      </c>
      <c r="B65" s="1" t="s">
        <v>81</v>
      </c>
      <c r="C65" s="1" t="s">
        <v>24</v>
      </c>
      <c r="D65" s="5">
        <v>48</v>
      </c>
      <c r="E65" s="1" t="s">
        <v>30</v>
      </c>
      <c r="F65" s="1" t="s">
        <v>18</v>
      </c>
      <c r="G65" s="1">
        <v>5</v>
      </c>
      <c r="H65" s="9">
        <v>27248</v>
      </c>
      <c r="I65" s="8">
        <f t="shared" si="0"/>
        <v>136240</v>
      </c>
      <c r="J65" s="18">
        <v>0.05</v>
      </c>
      <c r="K65" s="8">
        <f t="shared" si="1"/>
        <v>129428</v>
      </c>
      <c r="L65" s="14" t="s">
        <v>166</v>
      </c>
      <c r="M65" s="1" t="s">
        <v>45</v>
      </c>
      <c r="N65" s="28" t="s">
        <v>32</v>
      </c>
    </row>
    <row r="66" spans="1:14" x14ac:dyDescent="0.3">
      <c r="A66" s="25" t="s">
        <v>167</v>
      </c>
      <c r="B66" s="1" t="s">
        <v>69</v>
      </c>
      <c r="C66" s="1" t="s">
        <v>16</v>
      </c>
      <c r="D66" s="5">
        <v>36</v>
      </c>
      <c r="E66" s="1" t="s">
        <v>59</v>
      </c>
      <c r="F66" s="1" t="s">
        <v>48</v>
      </c>
      <c r="G66" s="1">
        <v>4</v>
      </c>
      <c r="H66" s="9">
        <v>26075</v>
      </c>
      <c r="I66" s="8">
        <f t="shared" si="0"/>
        <v>104300</v>
      </c>
      <c r="J66" s="18">
        <v>0.05</v>
      </c>
      <c r="K66" s="8">
        <f t="shared" si="1"/>
        <v>99085</v>
      </c>
      <c r="L66" s="14" t="s">
        <v>168</v>
      </c>
      <c r="M66" s="1" t="s">
        <v>20</v>
      </c>
      <c r="N66" s="28" t="s">
        <v>28</v>
      </c>
    </row>
    <row r="67" spans="1:14" x14ac:dyDescent="0.3">
      <c r="A67" s="25" t="s">
        <v>169</v>
      </c>
      <c r="B67" s="1" t="s">
        <v>81</v>
      </c>
      <c r="C67" s="1" t="s">
        <v>24</v>
      </c>
      <c r="D67" s="5">
        <v>19</v>
      </c>
      <c r="E67" s="1" t="s">
        <v>47</v>
      </c>
      <c r="F67" s="1" t="s">
        <v>48</v>
      </c>
      <c r="G67" s="1">
        <v>3</v>
      </c>
      <c r="H67" s="9">
        <v>28922</v>
      </c>
      <c r="I67" s="8">
        <f t="shared" ref="I67:I130" si="2">G67*H67</f>
        <v>86766</v>
      </c>
      <c r="J67" s="18">
        <v>0.1</v>
      </c>
      <c r="K67" s="8">
        <f t="shared" ref="K67:K130" si="3">I67-(I67*J67)</f>
        <v>78089.399999999994</v>
      </c>
      <c r="L67" s="14" t="s">
        <v>170</v>
      </c>
      <c r="M67" s="1" t="s">
        <v>45</v>
      </c>
      <c r="N67" s="28" t="s">
        <v>32</v>
      </c>
    </row>
    <row r="68" spans="1:14" x14ac:dyDescent="0.3">
      <c r="A68" s="25" t="s">
        <v>171</v>
      </c>
      <c r="B68" s="1" t="s">
        <v>81</v>
      </c>
      <c r="C68" s="1" t="s">
        <v>24</v>
      </c>
      <c r="D68" s="5">
        <v>21</v>
      </c>
      <c r="E68" s="1" t="s">
        <v>25</v>
      </c>
      <c r="F68" s="1" t="s">
        <v>18</v>
      </c>
      <c r="G68" s="1">
        <v>4</v>
      </c>
      <c r="H68" s="9">
        <v>11629</v>
      </c>
      <c r="I68" s="8">
        <f t="shared" si="2"/>
        <v>46516</v>
      </c>
      <c r="J68" s="18">
        <v>0</v>
      </c>
      <c r="K68" s="8">
        <f t="shared" si="3"/>
        <v>46516</v>
      </c>
      <c r="L68" s="14" t="s">
        <v>146</v>
      </c>
      <c r="M68" s="1" t="s">
        <v>20</v>
      </c>
      <c r="N68" s="28" t="s">
        <v>32</v>
      </c>
    </row>
    <row r="69" spans="1:14" x14ac:dyDescent="0.3">
      <c r="A69" s="25" t="s">
        <v>172</v>
      </c>
      <c r="B69" s="1" t="s">
        <v>54</v>
      </c>
      <c r="C69" s="1" t="s">
        <v>24</v>
      </c>
      <c r="D69" s="5">
        <v>21</v>
      </c>
      <c r="E69" s="1" t="s">
        <v>59</v>
      </c>
      <c r="F69" s="1" t="s">
        <v>48</v>
      </c>
      <c r="G69" s="1">
        <v>1</v>
      </c>
      <c r="H69" s="9">
        <v>24388</v>
      </c>
      <c r="I69" s="8">
        <f t="shared" si="2"/>
        <v>24388</v>
      </c>
      <c r="J69" s="18">
        <v>0.1</v>
      </c>
      <c r="K69" s="8">
        <f t="shared" si="3"/>
        <v>21949.200000000001</v>
      </c>
      <c r="L69" s="14" t="s">
        <v>173</v>
      </c>
      <c r="M69" s="1" t="s">
        <v>20</v>
      </c>
      <c r="N69" s="28" t="s">
        <v>32</v>
      </c>
    </row>
    <row r="70" spans="1:14" x14ac:dyDescent="0.3">
      <c r="A70" s="25" t="s">
        <v>174</v>
      </c>
      <c r="B70" s="1" t="s">
        <v>81</v>
      </c>
      <c r="C70" s="1" t="s">
        <v>24</v>
      </c>
      <c r="D70" s="5">
        <v>41</v>
      </c>
      <c r="E70" s="1" t="s">
        <v>38</v>
      </c>
      <c r="F70" s="1" t="s">
        <v>39</v>
      </c>
      <c r="G70" s="1">
        <v>1</v>
      </c>
      <c r="H70" s="9">
        <v>7626</v>
      </c>
      <c r="I70" s="8">
        <f t="shared" si="2"/>
        <v>7626</v>
      </c>
      <c r="J70" s="18">
        <v>0.15</v>
      </c>
      <c r="K70" s="8">
        <f t="shared" si="3"/>
        <v>6482.1</v>
      </c>
      <c r="L70" s="14" t="s">
        <v>175</v>
      </c>
      <c r="M70" s="1" t="s">
        <v>36</v>
      </c>
      <c r="N70" s="28" t="s">
        <v>40</v>
      </c>
    </row>
    <row r="71" spans="1:14" x14ac:dyDescent="0.3">
      <c r="A71" s="25" t="s">
        <v>176</v>
      </c>
      <c r="B71" s="1" t="s">
        <v>93</v>
      </c>
      <c r="C71" s="1" t="s">
        <v>16</v>
      </c>
      <c r="D71" s="5">
        <v>56</v>
      </c>
      <c r="E71" s="1" t="s">
        <v>17</v>
      </c>
      <c r="F71" s="1" t="s">
        <v>18</v>
      </c>
      <c r="G71" s="1">
        <v>2</v>
      </c>
      <c r="H71" s="9">
        <v>24767</v>
      </c>
      <c r="I71" s="8">
        <f t="shared" si="2"/>
        <v>49534</v>
      </c>
      <c r="J71" s="18">
        <v>0.2</v>
      </c>
      <c r="K71" s="8">
        <f t="shared" si="3"/>
        <v>39627.199999999997</v>
      </c>
      <c r="L71" s="14" t="s">
        <v>177</v>
      </c>
      <c r="M71" s="1" t="s">
        <v>20</v>
      </c>
      <c r="N71" s="28" t="s">
        <v>40</v>
      </c>
    </row>
    <row r="72" spans="1:14" x14ac:dyDescent="0.3">
      <c r="A72" s="25" t="s">
        <v>178</v>
      </c>
      <c r="B72" s="1" t="s">
        <v>15</v>
      </c>
      <c r="C72" s="1" t="s">
        <v>16</v>
      </c>
      <c r="D72" s="5">
        <v>37</v>
      </c>
      <c r="E72" s="1" t="s">
        <v>30</v>
      </c>
      <c r="F72" s="1" t="s">
        <v>18</v>
      </c>
      <c r="G72" s="1">
        <v>1</v>
      </c>
      <c r="H72" s="9">
        <v>1996</v>
      </c>
      <c r="I72" s="8">
        <f t="shared" si="2"/>
        <v>1996</v>
      </c>
      <c r="J72" s="18">
        <v>0.15</v>
      </c>
      <c r="K72" s="8">
        <f t="shared" si="3"/>
        <v>1696.6</v>
      </c>
      <c r="L72" s="14" t="s">
        <v>179</v>
      </c>
      <c r="M72" s="1" t="s">
        <v>27</v>
      </c>
      <c r="N72" s="28" t="s">
        <v>28</v>
      </c>
    </row>
    <row r="73" spans="1:14" x14ac:dyDescent="0.3">
      <c r="A73" s="25" t="s">
        <v>180</v>
      </c>
      <c r="B73" s="1" t="s">
        <v>69</v>
      </c>
      <c r="C73" s="1" t="s">
        <v>16</v>
      </c>
      <c r="D73" s="5">
        <v>60</v>
      </c>
      <c r="E73" s="1" t="s">
        <v>130</v>
      </c>
      <c r="F73" s="1" t="s">
        <v>39</v>
      </c>
      <c r="G73" s="1">
        <v>5</v>
      </c>
      <c r="H73" s="9">
        <v>6604</v>
      </c>
      <c r="I73" s="8">
        <f t="shared" si="2"/>
        <v>33020</v>
      </c>
      <c r="J73" s="18">
        <v>0.15</v>
      </c>
      <c r="K73" s="8">
        <f t="shared" si="3"/>
        <v>28067</v>
      </c>
      <c r="L73" s="14" t="s">
        <v>181</v>
      </c>
      <c r="M73" s="1" t="s">
        <v>20</v>
      </c>
      <c r="N73" s="28" t="s">
        <v>32</v>
      </c>
    </row>
    <row r="74" spans="1:14" x14ac:dyDescent="0.3">
      <c r="A74" s="25" t="s">
        <v>182</v>
      </c>
      <c r="B74" s="1" t="s">
        <v>34</v>
      </c>
      <c r="C74" s="1" t="s">
        <v>16</v>
      </c>
      <c r="D74" s="5">
        <v>42</v>
      </c>
      <c r="E74" s="1" t="s">
        <v>17</v>
      </c>
      <c r="F74" s="1" t="s">
        <v>18</v>
      </c>
      <c r="G74" s="1">
        <v>4</v>
      </c>
      <c r="H74" s="9">
        <v>9861</v>
      </c>
      <c r="I74" s="8">
        <f t="shared" si="2"/>
        <v>39444</v>
      </c>
      <c r="J74" s="18">
        <v>0.2</v>
      </c>
      <c r="K74" s="8">
        <f t="shared" si="3"/>
        <v>31555.200000000001</v>
      </c>
      <c r="L74" s="14" t="s">
        <v>183</v>
      </c>
      <c r="M74" s="1" t="s">
        <v>45</v>
      </c>
      <c r="N74" s="28" t="s">
        <v>21</v>
      </c>
    </row>
    <row r="75" spans="1:14" x14ac:dyDescent="0.3">
      <c r="A75" s="25" t="s">
        <v>184</v>
      </c>
      <c r="B75" s="1" t="s">
        <v>54</v>
      </c>
      <c r="C75" s="1" t="s">
        <v>24</v>
      </c>
      <c r="D75" s="5">
        <v>54</v>
      </c>
      <c r="E75" s="1" t="s">
        <v>30</v>
      </c>
      <c r="F75" s="1" t="s">
        <v>18</v>
      </c>
      <c r="G75" s="1">
        <v>1</v>
      </c>
      <c r="H75" s="9">
        <v>19458</v>
      </c>
      <c r="I75" s="8">
        <f t="shared" si="2"/>
        <v>19458</v>
      </c>
      <c r="J75" s="18">
        <v>0.2</v>
      </c>
      <c r="K75" s="8">
        <f t="shared" si="3"/>
        <v>15566.4</v>
      </c>
      <c r="L75" s="14" t="s">
        <v>185</v>
      </c>
      <c r="M75" s="1" t="s">
        <v>45</v>
      </c>
      <c r="N75" s="28" t="s">
        <v>21</v>
      </c>
    </row>
    <row r="76" spans="1:14" x14ac:dyDescent="0.3">
      <c r="A76" s="25" t="s">
        <v>186</v>
      </c>
      <c r="B76" s="1" t="s">
        <v>54</v>
      </c>
      <c r="C76" s="1" t="s">
        <v>24</v>
      </c>
      <c r="D76" s="5">
        <v>26</v>
      </c>
      <c r="E76" s="1" t="s">
        <v>25</v>
      </c>
      <c r="F76" s="1" t="s">
        <v>18</v>
      </c>
      <c r="G76" s="1">
        <v>4</v>
      </c>
      <c r="H76" s="9">
        <v>28069</v>
      </c>
      <c r="I76" s="8">
        <f t="shared" si="2"/>
        <v>112276</v>
      </c>
      <c r="J76" s="18">
        <v>0.15</v>
      </c>
      <c r="K76" s="8">
        <f t="shared" si="3"/>
        <v>95434.6</v>
      </c>
      <c r="L76" s="14" t="s">
        <v>64</v>
      </c>
      <c r="M76" s="1" t="s">
        <v>27</v>
      </c>
      <c r="N76" s="28" t="s">
        <v>40</v>
      </c>
    </row>
    <row r="77" spans="1:14" x14ac:dyDescent="0.3">
      <c r="A77" s="25" t="s">
        <v>187</v>
      </c>
      <c r="B77" s="1" t="s">
        <v>51</v>
      </c>
      <c r="C77" s="1" t="s">
        <v>16</v>
      </c>
      <c r="D77" s="5">
        <v>22</v>
      </c>
      <c r="E77" s="1" t="s">
        <v>42</v>
      </c>
      <c r="F77" s="1" t="s">
        <v>43</v>
      </c>
      <c r="G77" s="1">
        <v>5</v>
      </c>
      <c r="H77" s="9">
        <v>19418</v>
      </c>
      <c r="I77" s="8">
        <f t="shared" si="2"/>
        <v>97090</v>
      </c>
      <c r="J77" s="18">
        <v>0</v>
      </c>
      <c r="K77" s="8">
        <f t="shared" si="3"/>
        <v>97090</v>
      </c>
      <c r="L77" s="14" t="s">
        <v>188</v>
      </c>
      <c r="M77" s="1" t="s">
        <v>45</v>
      </c>
      <c r="N77" s="28" t="s">
        <v>21</v>
      </c>
    </row>
    <row r="78" spans="1:14" x14ac:dyDescent="0.3">
      <c r="A78" s="25" t="s">
        <v>189</v>
      </c>
      <c r="B78" s="1" t="s">
        <v>54</v>
      </c>
      <c r="C78" s="1" t="s">
        <v>24</v>
      </c>
      <c r="D78" s="5">
        <v>20</v>
      </c>
      <c r="E78" s="1" t="s">
        <v>30</v>
      </c>
      <c r="F78" s="1" t="s">
        <v>18</v>
      </c>
      <c r="G78" s="1">
        <v>3</v>
      </c>
      <c r="H78" s="9">
        <v>7343</v>
      </c>
      <c r="I78" s="8">
        <f t="shared" si="2"/>
        <v>22029</v>
      </c>
      <c r="J78" s="18">
        <v>0</v>
      </c>
      <c r="K78" s="8">
        <f t="shared" si="3"/>
        <v>22029</v>
      </c>
      <c r="L78" s="14" t="s">
        <v>190</v>
      </c>
      <c r="M78" s="1" t="s">
        <v>20</v>
      </c>
      <c r="N78" s="28" t="s">
        <v>40</v>
      </c>
    </row>
    <row r="79" spans="1:14" x14ac:dyDescent="0.3">
      <c r="A79" s="25" t="s">
        <v>191</v>
      </c>
      <c r="B79" s="1" t="s">
        <v>76</v>
      </c>
      <c r="C79" s="1" t="s">
        <v>24</v>
      </c>
      <c r="D79" s="5">
        <v>35</v>
      </c>
      <c r="E79" s="1" t="s">
        <v>25</v>
      </c>
      <c r="F79" s="1" t="s">
        <v>18</v>
      </c>
      <c r="G79" s="1">
        <v>1</v>
      </c>
      <c r="H79" s="9">
        <v>13208</v>
      </c>
      <c r="I79" s="8">
        <f t="shared" si="2"/>
        <v>13208</v>
      </c>
      <c r="J79" s="18">
        <v>0.05</v>
      </c>
      <c r="K79" s="8">
        <f t="shared" si="3"/>
        <v>12547.6</v>
      </c>
      <c r="L79" s="14" t="s">
        <v>175</v>
      </c>
      <c r="M79" s="1" t="s">
        <v>36</v>
      </c>
      <c r="N79" s="28" t="s">
        <v>21</v>
      </c>
    </row>
    <row r="80" spans="1:14" x14ac:dyDescent="0.3">
      <c r="A80" s="25" t="s">
        <v>192</v>
      </c>
      <c r="B80" s="1" t="s">
        <v>66</v>
      </c>
      <c r="C80" s="1" t="s">
        <v>24</v>
      </c>
      <c r="D80" s="5">
        <v>59</v>
      </c>
      <c r="E80" s="1" t="s">
        <v>30</v>
      </c>
      <c r="F80" s="1" t="s">
        <v>18</v>
      </c>
      <c r="G80" s="1">
        <v>4</v>
      </c>
      <c r="H80" s="9">
        <v>18835</v>
      </c>
      <c r="I80" s="8">
        <f t="shared" si="2"/>
        <v>75340</v>
      </c>
      <c r="J80" s="18">
        <v>0.2</v>
      </c>
      <c r="K80" s="8">
        <f t="shared" si="3"/>
        <v>60272</v>
      </c>
      <c r="L80" s="14" t="s">
        <v>185</v>
      </c>
      <c r="M80" s="1" t="s">
        <v>45</v>
      </c>
      <c r="N80" s="28" t="s">
        <v>40</v>
      </c>
    </row>
    <row r="81" spans="1:14" x14ac:dyDescent="0.3">
      <c r="A81" s="25" t="s">
        <v>193</v>
      </c>
      <c r="B81" s="1" t="s">
        <v>69</v>
      </c>
      <c r="C81" s="1" t="s">
        <v>16</v>
      </c>
      <c r="D81" s="5">
        <v>47</v>
      </c>
      <c r="E81" s="1" t="s">
        <v>38</v>
      </c>
      <c r="F81" s="1" t="s">
        <v>39</v>
      </c>
      <c r="G81" s="1">
        <v>3</v>
      </c>
      <c r="H81" s="9">
        <v>9840</v>
      </c>
      <c r="I81" s="8">
        <f t="shared" si="2"/>
        <v>29520</v>
      </c>
      <c r="J81" s="18">
        <v>0.2</v>
      </c>
      <c r="K81" s="8">
        <f t="shared" si="3"/>
        <v>23616</v>
      </c>
      <c r="L81" s="14" t="s">
        <v>194</v>
      </c>
      <c r="M81" s="1" t="s">
        <v>45</v>
      </c>
      <c r="N81" s="28" t="s">
        <v>21</v>
      </c>
    </row>
    <row r="82" spans="1:14" x14ac:dyDescent="0.3">
      <c r="A82" s="25" t="s">
        <v>195</v>
      </c>
      <c r="B82" s="1" t="s">
        <v>66</v>
      </c>
      <c r="C82" s="1" t="s">
        <v>24</v>
      </c>
      <c r="D82" s="5">
        <v>23</v>
      </c>
      <c r="E82" s="1" t="s">
        <v>42</v>
      </c>
      <c r="F82" s="1" t="s">
        <v>43</v>
      </c>
      <c r="G82" s="1">
        <v>5</v>
      </c>
      <c r="H82" s="9">
        <v>679</v>
      </c>
      <c r="I82" s="8">
        <f t="shared" si="2"/>
        <v>3395</v>
      </c>
      <c r="J82" s="18">
        <v>0</v>
      </c>
      <c r="K82" s="8">
        <f t="shared" si="3"/>
        <v>3395</v>
      </c>
      <c r="L82" s="14" t="s">
        <v>136</v>
      </c>
      <c r="M82" s="1" t="s">
        <v>20</v>
      </c>
      <c r="N82" s="28" t="s">
        <v>21</v>
      </c>
    </row>
    <row r="83" spans="1:14" x14ac:dyDescent="0.3">
      <c r="A83" s="25" t="s">
        <v>196</v>
      </c>
      <c r="B83" s="1" t="s">
        <v>34</v>
      </c>
      <c r="C83" s="1" t="s">
        <v>16</v>
      </c>
      <c r="D83" s="5">
        <v>22</v>
      </c>
      <c r="E83" s="1" t="s">
        <v>59</v>
      </c>
      <c r="F83" s="1" t="s">
        <v>48</v>
      </c>
      <c r="G83" s="1">
        <v>4</v>
      </c>
      <c r="H83" s="9">
        <v>29874</v>
      </c>
      <c r="I83" s="8">
        <f t="shared" si="2"/>
        <v>119496</v>
      </c>
      <c r="J83" s="18">
        <v>0</v>
      </c>
      <c r="K83" s="8">
        <f t="shared" si="3"/>
        <v>119496</v>
      </c>
      <c r="L83" s="14" t="s">
        <v>197</v>
      </c>
      <c r="M83" s="1" t="s">
        <v>45</v>
      </c>
      <c r="N83" s="28" t="s">
        <v>40</v>
      </c>
    </row>
    <row r="84" spans="1:14" x14ac:dyDescent="0.3">
      <c r="A84" s="25" t="s">
        <v>198</v>
      </c>
      <c r="B84" s="1" t="s">
        <v>34</v>
      </c>
      <c r="C84" s="1" t="s">
        <v>16</v>
      </c>
      <c r="D84" s="5">
        <v>50</v>
      </c>
      <c r="E84" s="1" t="s">
        <v>59</v>
      </c>
      <c r="F84" s="1" t="s">
        <v>48</v>
      </c>
      <c r="G84" s="1">
        <v>3</v>
      </c>
      <c r="H84" s="9">
        <v>5337</v>
      </c>
      <c r="I84" s="8">
        <f t="shared" si="2"/>
        <v>16011</v>
      </c>
      <c r="J84" s="18">
        <v>0.05</v>
      </c>
      <c r="K84" s="8">
        <f t="shared" si="3"/>
        <v>15210.45</v>
      </c>
      <c r="L84" s="14" t="s">
        <v>199</v>
      </c>
      <c r="M84" s="1" t="s">
        <v>27</v>
      </c>
      <c r="N84" s="28" t="s">
        <v>21</v>
      </c>
    </row>
    <row r="85" spans="1:14" x14ac:dyDescent="0.3">
      <c r="A85" s="25" t="s">
        <v>200</v>
      </c>
      <c r="B85" s="1" t="s">
        <v>54</v>
      </c>
      <c r="C85" s="1" t="s">
        <v>24</v>
      </c>
      <c r="D85" s="5">
        <v>58</v>
      </c>
      <c r="E85" s="1" t="s">
        <v>17</v>
      </c>
      <c r="F85" s="1" t="s">
        <v>18</v>
      </c>
      <c r="G85" s="1">
        <v>2</v>
      </c>
      <c r="H85" s="9">
        <v>15544</v>
      </c>
      <c r="I85" s="8">
        <f t="shared" si="2"/>
        <v>31088</v>
      </c>
      <c r="J85" s="18">
        <v>0</v>
      </c>
      <c r="K85" s="8">
        <f t="shared" si="3"/>
        <v>31088</v>
      </c>
      <c r="L85" s="14" t="s">
        <v>201</v>
      </c>
      <c r="M85" s="1" t="s">
        <v>27</v>
      </c>
      <c r="N85" s="28" t="s">
        <v>21</v>
      </c>
    </row>
    <row r="86" spans="1:14" x14ac:dyDescent="0.3">
      <c r="A86" s="25" t="s">
        <v>202</v>
      </c>
      <c r="B86" s="1" t="s">
        <v>76</v>
      </c>
      <c r="C86" s="1" t="s">
        <v>24</v>
      </c>
      <c r="D86" s="5">
        <v>30</v>
      </c>
      <c r="E86" s="1" t="s">
        <v>30</v>
      </c>
      <c r="F86" s="1" t="s">
        <v>18</v>
      </c>
      <c r="G86" s="1">
        <v>1</v>
      </c>
      <c r="H86" s="9">
        <v>24377</v>
      </c>
      <c r="I86" s="8">
        <f t="shared" si="2"/>
        <v>24377</v>
      </c>
      <c r="J86" s="18">
        <v>0.1</v>
      </c>
      <c r="K86" s="8">
        <f t="shared" si="3"/>
        <v>21939.3</v>
      </c>
      <c r="L86" s="14" t="s">
        <v>203</v>
      </c>
      <c r="M86" s="1" t="s">
        <v>27</v>
      </c>
      <c r="N86" s="28" t="s">
        <v>28</v>
      </c>
    </row>
    <row r="87" spans="1:14" x14ac:dyDescent="0.3">
      <c r="A87" s="25" t="s">
        <v>204</v>
      </c>
      <c r="B87" s="1" t="s">
        <v>54</v>
      </c>
      <c r="C87" s="1" t="s">
        <v>24</v>
      </c>
      <c r="D87" s="5">
        <v>42</v>
      </c>
      <c r="E87" s="1" t="s">
        <v>47</v>
      </c>
      <c r="F87" s="1" t="s">
        <v>48</v>
      </c>
      <c r="G87" s="1">
        <v>4</v>
      </c>
      <c r="H87" s="9">
        <v>10615</v>
      </c>
      <c r="I87" s="8">
        <f t="shared" si="2"/>
        <v>42460</v>
      </c>
      <c r="J87" s="18">
        <v>0.1</v>
      </c>
      <c r="K87" s="8">
        <f t="shared" si="3"/>
        <v>38214</v>
      </c>
      <c r="L87" s="14" t="s">
        <v>205</v>
      </c>
      <c r="M87" s="1" t="s">
        <v>36</v>
      </c>
      <c r="N87" s="28" t="s">
        <v>40</v>
      </c>
    </row>
    <row r="88" spans="1:14" x14ac:dyDescent="0.3">
      <c r="A88" s="25" t="s">
        <v>206</v>
      </c>
      <c r="B88" s="1" t="s">
        <v>15</v>
      </c>
      <c r="C88" s="1" t="s">
        <v>16</v>
      </c>
      <c r="D88" s="5">
        <v>27</v>
      </c>
      <c r="E88" s="1" t="s">
        <v>17</v>
      </c>
      <c r="F88" s="1" t="s">
        <v>18</v>
      </c>
      <c r="G88" s="1">
        <v>1</v>
      </c>
      <c r="H88" s="9">
        <v>750</v>
      </c>
      <c r="I88" s="8">
        <f t="shared" si="2"/>
        <v>750</v>
      </c>
      <c r="J88" s="18">
        <v>0.1</v>
      </c>
      <c r="K88" s="8">
        <f t="shared" si="3"/>
        <v>675</v>
      </c>
      <c r="L88" s="14" t="s">
        <v>109</v>
      </c>
      <c r="M88" s="1" t="s">
        <v>45</v>
      </c>
      <c r="N88" s="28" t="s">
        <v>40</v>
      </c>
    </row>
    <row r="89" spans="1:14" x14ac:dyDescent="0.3">
      <c r="A89" s="25" t="s">
        <v>207</v>
      </c>
      <c r="B89" s="1" t="s">
        <v>54</v>
      </c>
      <c r="C89" s="1" t="s">
        <v>24</v>
      </c>
      <c r="D89" s="5">
        <v>25</v>
      </c>
      <c r="E89" s="1" t="s">
        <v>59</v>
      </c>
      <c r="F89" s="1" t="s">
        <v>48</v>
      </c>
      <c r="G89" s="1">
        <v>5</v>
      </c>
      <c r="H89" s="9">
        <v>16461</v>
      </c>
      <c r="I89" s="8">
        <f t="shared" si="2"/>
        <v>82305</v>
      </c>
      <c r="J89" s="18">
        <v>0.05</v>
      </c>
      <c r="K89" s="8">
        <f t="shared" si="3"/>
        <v>78189.75</v>
      </c>
      <c r="L89" s="14" t="s">
        <v>208</v>
      </c>
      <c r="M89" s="1" t="s">
        <v>36</v>
      </c>
      <c r="N89" s="28" t="s">
        <v>21</v>
      </c>
    </row>
    <row r="90" spans="1:14" x14ac:dyDescent="0.3">
      <c r="A90" s="25" t="s">
        <v>209</v>
      </c>
      <c r="B90" s="1" t="s">
        <v>66</v>
      </c>
      <c r="C90" s="1" t="s">
        <v>24</v>
      </c>
      <c r="D90" s="5">
        <v>56</v>
      </c>
      <c r="E90" s="1" t="s">
        <v>130</v>
      </c>
      <c r="F90" s="1" t="s">
        <v>39</v>
      </c>
      <c r="G90" s="1">
        <v>5</v>
      </c>
      <c r="H90" s="9">
        <v>12078</v>
      </c>
      <c r="I90" s="8">
        <f t="shared" si="2"/>
        <v>60390</v>
      </c>
      <c r="J90" s="18">
        <v>0.15</v>
      </c>
      <c r="K90" s="8">
        <f t="shared" si="3"/>
        <v>51331.5</v>
      </c>
      <c r="L90" s="14" t="s">
        <v>210</v>
      </c>
      <c r="M90" s="1" t="s">
        <v>27</v>
      </c>
      <c r="N90" s="28" t="s">
        <v>32</v>
      </c>
    </row>
    <row r="91" spans="1:14" x14ac:dyDescent="0.3">
      <c r="A91" s="25" t="s">
        <v>211</v>
      </c>
      <c r="B91" s="1" t="s">
        <v>69</v>
      </c>
      <c r="C91" s="1" t="s">
        <v>16</v>
      </c>
      <c r="D91" s="5">
        <v>18</v>
      </c>
      <c r="E91" s="1" t="s">
        <v>17</v>
      </c>
      <c r="F91" s="1" t="s">
        <v>18</v>
      </c>
      <c r="G91" s="1">
        <v>2</v>
      </c>
      <c r="H91" s="9">
        <v>12994</v>
      </c>
      <c r="I91" s="8">
        <f t="shared" si="2"/>
        <v>25988</v>
      </c>
      <c r="J91" s="18">
        <v>0.05</v>
      </c>
      <c r="K91" s="8">
        <f t="shared" si="3"/>
        <v>24688.6</v>
      </c>
      <c r="L91" s="14" t="s">
        <v>164</v>
      </c>
      <c r="M91" s="1" t="s">
        <v>45</v>
      </c>
      <c r="N91" s="28" t="s">
        <v>40</v>
      </c>
    </row>
    <row r="92" spans="1:14" x14ac:dyDescent="0.3">
      <c r="A92" s="25" t="s">
        <v>212</v>
      </c>
      <c r="B92" s="1" t="s">
        <v>81</v>
      </c>
      <c r="C92" s="1" t="s">
        <v>24</v>
      </c>
      <c r="D92" s="5">
        <v>25</v>
      </c>
      <c r="E92" s="1" t="s">
        <v>30</v>
      </c>
      <c r="F92" s="1" t="s">
        <v>18</v>
      </c>
      <c r="G92" s="1">
        <v>2</v>
      </c>
      <c r="H92" s="9">
        <v>29988</v>
      </c>
      <c r="I92" s="8">
        <f t="shared" si="2"/>
        <v>59976</v>
      </c>
      <c r="J92" s="18">
        <v>0.2</v>
      </c>
      <c r="K92" s="8">
        <f t="shared" si="3"/>
        <v>47980.800000000003</v>
      </c>
      <c r="L92" s="14" t="s">
        <v>170</v>
      </c>
      <c r="M92" s="1" t="s">
        <v>36</v>
      </c>
      <c r="N92" s="28" t="s">
        <v>21</v>
      </c>
    </row>
    <row r="93" spans="1:14" x14ac:dyDescent="0.3">
      <c r="A93" s="25" t="s">
        <v>213</v>
      </c>
      <c r="B93" s="1" t="s">
        <v>93</v>
      </c>
      <c r="C93" s="1" t="s">
        <v>16</v>
      </c>
      <c r="D93" s="5">
        <v>56</v>
      </c>
      <c r="E93" s="1" t="s">
        <v>25</v>
      </c>
      <c r="F93" s="1" t="s">
        <v>18</v>
      </c>
      <c r="G93" s="1">
        <v>1</v>
      </c>
      <c r="H93" s="9">
        <v>29557</v>
      </c>
      <c r="I93" s="8">
        <f t="shared" si="2"/>
        <v>29557</v>
      </c>
      <c r="J93" s="18">
        <v>0.05</v>
      </c>
      <c r="K93" s="8">
        <f t="shared" si="3"/>
        <v>28079.15</v>
      </c>
      <c r="L93" s="14" t="s">
        <v>214</v>
      </c>
      <c r="M93" s="1" t="s">
        <v>45</v>
      </c>
      <c r="N93" s="28" t="s">
        <v>40</v>
      </c>
    </row>
    <row r="94" spans="1:14" x14ac:dyDescent="0.3">
      <c r="A94" s="25" t="s">
        <v>215</v>
      </c>
      <c r="B94" s="1" t="s">
        <v>69</v>
      </c>
      <c r="C94" s="1" t="s">
        <v>16</v>
      </c>
      <c r="D94" s="5">
        <v>35</v>
      </c>
      <c r="E94" s="1" t="s">
        <v>17</v>
      </c>
      <c r="F94" s="1" t="s">
        <v>18</v>
      </c>
      <c r="G94" s="1">
        <v>1</v>
      </c>
      <c r="H94" s="9">
        <v>18814</v>
      </c>
      <c r="I94" s="8">
        <f t="shared" si="2"/>
        <v>18814</v>
      </c>
      <c r="J94" s="18">
        <v>0.05</v>
      </c>
      <c r="K94" s="8">
        <f t="shared" si="3"/>
        <v>17873.3</v>
      </c>
      <c r="L94" s="14" t="s">
        <v>216</v>
      </c>
      <c r="M94" s="1" t="s">
        <v>36</v>
      </c>
      <c r="N94" s="28" t="s">
        <v>32</v>
      </c>
    </row>
    <row r="95" spans="1:14" x14ac:dyDescent="0.3">
      <c r="A95" s="25" t="s">
        <v>217</v>
      </c>
      <c r="B95" s="1" t="s">
        <v>54</v>
      </c>
      <c r="C95" s="1" t="s">
        <v>24</v>
      </c>
      <c r="D95" s="5">
        <v>53</v>
      </c>
      <c r="E95" s="1" t="s">
        <v>30</v>
      </c>
      <c r="F95" s="1" t="s">
        <v>18</v>
      </c>
      <c r="G95" s="1">
        <v>3</v>
      </c>
      <c r="H95" s="9">
        <v>6800</v>
      </c>
      <c r="I95" s="8">
        <f t="shared" si="2"/>
        <v>20400</v>
      </c>
      <c r="J95" s="18">
        <v>0</v>
      </c>
      <c r="K95" s="8">
        <f t="shared" si="3"/>
        <v>20400</v>
      </c>
      <c r="L95" s="14" t="s">
        <v>218</v>
      </c>
      <c r="M95" s="1" t="s">
        <v>27</v>
      </c>
      <c r="N95" s="28" t="s">
        <v>32</v>
      </c>
    </row>
    <row r="96" spans="1:14" x14ac:dyDescent="0.3">
      <c r="A96" s="25" t="s">
        <v>219</v>
      </c>
      <c r="B96" s="1" t="s">
        <v>69</v>
      </c>
      <c r="C96" s="1" t="s">
        <v>16</v>
      </c>
      <c r="D96" s="5">
        <v>49</v>
      </c>
      <c r="E96" s="1" t="s">
        <v>42</v>
      </c>
      <c r="F96" s="1" t="s">
        <v>43</v>
      </c>
      <c r="G96" s="1">
        <v>1</v>
      </c>
      <c r="H96" s="9">
        <v>6855</v>
      </c>
      <c r="I96" s="8">
        <f t="shared" si="2"/>
        <v>6855</v>
      </c>
      <c r="J96" s="18">
        <v>0</v>
      </c>
      <c r="K96" s="8">
        <f t="shared" si="3"/>
        <v>6855</v>
      </c>
      <c r="L96" s="14" t="s">
        <v>220</v>
      </c>
      <c r="M96" s="1" t="s">
        <v>20</v>
      </c>
      <c r="N96" s="28" t="s">
        <v>40</v>
      </c>
    </row>
    <row r="97" spans="1:14" x14ac:dyDescent="0.3">
      <c r="A97" s="25" t="s">
        <v>221</v>
      </c>
      <c r="B97" s="1" t="s">
        <v>34</v>
      </c>
      <c r="C97" s="1" t="s">
        <v>16</v>
      </c>
      <c r="D97" s="5">
        <v>36</v>
      </c>
      <c r="E97" s="1" t="s">
        <v>17</v>
      </c>
      <c r="F97" s="1" t="s">
        <v>18</v>
      </c>
      <c r="G97" s="1">
        <v>3</v>
      </c>
      <c r="H97" s="9">
        <v>8974</v>
      </c>
      <c r="I97" s="8">
        <f t="shared" si="2"/>
        <v>26922</v>
      </c>
      <c r="J97" s="18">
        <v>0.2</v>
      </c>
      <c r="K97" s="8">
        <f t="shared" si="3"/>
        <v>21537.599999999999</v>
      </c>
      <c r="L97" s="14" t="s">
        <v>222</v>
      </c>
      <c r="M97" s="1" t="s">
        <v>45</v>
      </c>
      <c r="N97" s="28" t="s">
        <v>21</v>
      </c>
    </row>
    <row r="98" spans="1:14" x14ac:dyDescent="0.3">
      <c r="A98" s="25" t="s">
        <v>223</v>
      </c>
      <c r="B98" s="1" t="s">
        <v>93</v>
      </c>
      <c r="C98" s="1" t="s">
        <v>16</v>
      </c>
      <c r="D98" s="5">
        <v>29</v>
      </c>
      <c r="E98" s="1" t="s">
        <v>38</v>
      </c>
      <c r="F98" s="1" t="s">
        <v>39</v>
      </c>
      <c r="G98" s="1">
        <v>2</v>
      </c>
      <c r="H98" s="9">
        <v>15369</v>
      </c>
      <c r="I98" s="8">
        <f t="shared" si="2"/>
        <v>30738</v>
      </c>
      <c r="J98" s="18">
        <v>0.1</v>
      </c>
      <c r="K98" s="8">
        <f t="shared" si="3"/>
        <v>27664.2</v>
      </c>
      <c r="L98" s="14" t="s">
        <v>224</v>
      </c>
      <c r="M98" s="1" t="s">
        <v>45</v>
      </c>
      <c r="N98" s="28" t="s">
        <v>28</v>
      </c>
    </row>
    <row r="99" spans="1:14" x14ac:dyDescent="0.3">
      <c r="A99" s="25" t="s">
        <v>225</v>
      </c>
      <c r="B99" s="1" t="s">
        <v>23</v>
      </c>
      <c r="C99" s="1" t="s">
        <v>24</v>
      </c>
      <c r="D99" s="5">
        <v>45</v>
      </c>
      <c r="E99" s="1" t="s">
        <v>30</v>
      </c>
      <c r="F99" s="1" t="s">
        <v>18</v>
      </c>
      <c r="G99" s="1">
        <v>3</v>
      </c>
      <c r="H99" s="9">
        <v>11832</v>
      </c>
      <c r="I99" s="8">
        <f t="shared" si="2"/>
        <v>35496</v>
      </c>
      <c r="J99" s="18">
        <v>0.2</v>
      </c>
      <c r="K99" s="8">
        <f t="shared" si="3"/>
        <v>28396.799999999999</v>
      </c>
      <c r="L99" s="14" t="s">
        <v>226</v>
      </c>
      <c r="M99" s="1" t="s">
        <v>20</v>
      </c>
      <c r="N99" s="28" t="s">
        <v>28</v>
      </c>
    </row>
    <row r="100" spans="1:14" x14ac:dyDescent="0.3">
      <c r="A100" s="25" t="s">
        <v>227</v>
      </c>
      <c r="B100" s="1" t="s">
        <v>81</v>
      </c>
      <c r="C100" s="1" t="s">
        <v>24</v>
      </c>
      <c r="D100" s="5">
        <v>51</v>
      </c>
      <c r="E100" s="1" t="s">
        <v>17</v>
      </c>
      <c r="F100" s="1" t="s">
        <v>18</v>
      </c>
      <c r="G100" s="1">
        <v>3</v>
      </c>
      <c r="H100" s="9">
        <v>2863</v>
      </c>
      <c r="I100" s="8">
        <f t="shared" si="2"/>
        <v>8589</v>
      </c>
      <c r="J100" s="18">
        <v>0.2</v>
      </c>
      <c r="K100" s="8">
        <f t="shared" si="3"/>
        <v>6871.2</v>
      </c>
      <c r="L100" s="14" t="s">
        <v>228</v>
      </c>
      <c r="M100" s="1" t="s">
        <v>20</v>
      </c>
      <c r="N100" s="28" t="s">
        <v>21</v>
      </c>
    </row>
    <row r="101" spans="1:14" x14ac:dyDescent="0.3">
      <c r="A101" s="25" t="s">
        <v>229</v>
      </c>
      <c r="B101" s="1" t="s">
        <v>15</v>
      </c>
      <c r="C101" s="1" t="s">
        <v>16</v>
      </c>
      <c r="D101" s="5">
        <v>47</v>
      </c>
      <c r="E101" s="1" t="s">
        <v>17</v>
      </c>
      <c r="F101" s="1" t="s">
        <v>18</v>
      </c>
      <c r="G101" s="1">
        <v>3</v>
      </c>
      <c r="H101" s="9">
        <v>11471</v>
      </c>
      <c r="I101" s="8">
        <f t="shared" si="2"/>
        <v>34413</v>
      </c>
      <c r="J101" s="18">
        <v>0.15</v>
      </c>
      <c r="K101" s="8">
        <f t="shared" si="3"/>
        <v>29251.05</v>
      </c>
      <c r="L101" s="14" t="s">
        <v>152</v>
      </c>
      <c r="M101" s="1" t="s">
        <v>20</v>
      </c>
      <c r="N101" s="28" t="s">
        <v>21</v>
      </c>
    </row>
    <row r="102" spans="1:14" x14ac:dyDescent="0.3">
      <c r="A102" s="25" t="s">
        <v>230</v>
      </c>
      <c r="B102" s="1" t="s">
        <v>51</v>
      </c>
      <c r="C102" s="1" t="s">
        <v>16</v>
      </c>
      <c r="D102" s="5">
        <v>44</v>
      </c>
      <c r="E102" s="1" t="s">
        <v>59</v>
      </c>
      <c r="F102" s="1" t="s">
        <v>48</v>
      </c>
      <c r="G102" s="1">
        <v>2</v>
      </c>
      <c r="H102" s="9">
        <v>16484</v>
      </c>
      <c r="I102" s="8">
        <f t="shared" si="2"/>
        <v>32968</v>
      </c>
      <c r="J102" s="18">
        <v>0.1</v>
      </c>
      <c r="K102" s="8">
        <f t="shared" si="3"/>
        <v>29671.200000000001</v>
      </c>
      <c r="L102" s="14" t="s">
        <v>52</v>
      </c>
      <c r="M102" s="1" t="s">
        <v>20</v>
      </c>
      <c r="N102" s="28" t="s">
        <v>32</v>
      </c>
    </row>
    <row r="103" spans="1:14" x14ac:dyDescent="0.3">
      <c r="A103" s="25" t="s">
        <v>231</v>
      </c>
      <c r="B103" s="1" t="s">
        <v>66</v>
      </c>
      <c r="C103" s="1" t="s">
        <v>24</v>
      </c>
      <c r="D103" s="5">
        <v>26</v>
      </c>
      <c r="E103" s="1" t="s">
        <v>59</v>
      </c>
      <c r="F103" s="1" t="s">
        <v>48</v>
      </c>
      <c r="G103" s="1">
        <v>1</v>
      </c>
      <c r="H103" s="9">
        <v>14965</v>
      </c>
      <c r="I103" s="8">
        <f t="shared" si="2"/>
        <v>14965</v>
      </c>
      <c r="J103" s="18">
        <v>0</v>
      </c>
      <c r="K103" s="8">
        <f t="shared" si="3"/>
        <v>14965</v>
      </c>
      <c r="L103" s="14" t="s">
        <v>232</v>
      </c>
      <c r="M103" s="1" t="s">
        <v>36</v>
      </c>
      <c r="N103" s="28" t="s">
        <v>40</v>
      </c>
    </row>
    <row r="104" spans="1:14" x14ac:dyDescent="0.3">
      <c r="A104" s="25" t="s">
        <v>233</v>
      </c>
      <c r="B104" s="1" t="s">
        <v>81</v>
      </c>
      <c r="C104" s="1" t="s">
        <v>24</v>
      </c>
      <c r="D104" s="5">
        <v>43</v>
      </c>
      <c r="E104" s="1" t="s">
        <v>25</v>
      </c>
      <c r="F104" s="1" t="s">
        <v>18</v>
      </c>
      <c r="G104" s="1">
        <v>5</v>
      </c>
      <c r="H104" s="9">
        <v>12488</v>
      </c>
      <c r="I104" s="8">
        <f t="shared" si="2"/>
        <v>62440</v>
      </c>
      <c r="J104" s="18">
        <v>0.05</v>
      </c>
      <c r="K104" s="8">
        <f t="shared" si="3"/>
        <v>59318</v>
      </c>
      <c r="L104" s="14" t="s">
        <v>234</v>
      </c>
      <c r="M104" s="1" t="s">
        <v>45</v>
      </c>
      <c r="N104" s="28" t="s">
        <v>28</v>
      </c>
    </row>
    <row r="105" spans="1:14" x14ac:dyDescent="0.3">
      <c r="A105" s="25" t="s">
        <v>235</v>
      </c>
      <c r="B105" s="1" t="s">
        <v>54</v>
      </c>
      <c r="C105" s="1" t="s">
        <v>24</v>
      </c>
      <c r="D105" s="5">
        <v>47</v>
      </c>
      <c r="E105" s="1" t="s">
        <v>30</v>
      </c>
      <c r="F105" s="1" t="s">
        <v>18</v>
      </c>
      <c r="G105" s="1">
        <v>4</v>
      </c>
      <c r="H105" s="9">
        <v>25989</v>
      </c>
      <c r="I105" s="8">
        <f t="shared" si="2"/>
        <v>103956</v>
      </c>
      <c r="J105" s="18">
        <v>0.1</v>
      </c>
      <c r="K105" s="8">
        <f t="shared" si="3"/>
        <v>93560.4</v>
      </c>
      <c r="L105" s="14" t="s">
        <v>96</v>
      </c>
      <c r="M105" s="1" t="s">
        <v>45</v>
      </c>
      <c r="N105" s="28" t="s">
        <v>21</v>
      </c>
    </row>
    <row r="106" spans="1:14" x14ac:dyDescent="0.3">
      <c r="A106" s="25" t="s">
        <v>236</v>
      </c>
      <c r="B106" s="1" t="s">
        <v>54</v>
      </c>
      <c r="C106" s="1" t="s">
        <v>24</v>
      </c>
      <c r="D106" s="5">
        <v>36</v>
      </c>
      <c r="E106" s="1" t="s">
        <v>38</v>
      </c>
      <c r="F106" s="1" t="s">
        <v>39</v>
      </c>
      <c r="G106" s="1">
        <v>5</v>
      </c>
      <c r="H106" s="9">
        <v>17009</v>
      </c>
      <c r="I106" s="8">
        <f t="shared" si="2"/>
        <v>85045</v>
      </c>
      <c r="J106" s="18">
        <v>0.15</v>
      </c>
      <c r="K106" s="8">
        <f t="shared" si="3"/>
        <v>72288.25</v>
      </c>
      <c r="L106" s="14" t="s">
        <v>232</v>
      </c>
      <c r="M106" s="1" t="s">
        <v>36</v>
      </c>
      <c r="N106" s="28" t="s">
        <v>32</v>
      </c>
    </row>
    <row r="107" spans="1:14" x14ac:dyDescent="0.3">
      <c r="A107" s="25" t="s">
        <v>237</v>
      </c>
      <c r="B107" s="1" t="s">
        <v>34</v>
      </c>
      <c r="C107" s="1" t="s">
        <v>16</v>
      </c>
      <c r="D107" s="5">
        <v>27</v>
      </c>
      <c r="E107" s="1" t="s">
        <v>17</v>
      </c>
      <c r="F107" s="1" t="s">
        <v>18</v>
      </c>
      <c r="G107" s="1">
        <v>4</v>
      </c>
      <c r="H107" s="9">
        <v>14164</v>
      </c>
      <c r="I107" s="8">
        <f t="shared" si="2"/>
        <v>56656</v>
      </c>
      <c r="J107" s="18">
        <v>0.15</v>
      </c>
      <c r="K107" s="8">
        <f t="shared" si="3"/>
        <v>48157.599999999999</v>
      </c>
      <c r="L107" s="14" t="s">
        <v>238</v>
      </c>
      <c r="M107" s="1" t="s">
        <v>20</v>
      </c>
      <c r="N107" s="28" t="s">
        <v>21</v>
      </c>
    </row>
    <row r="108" spans="1:14" x14ac:dyDescent="0.3">
      <c r="A108" s="25" t="s">
        <v>239</v>
      </c>
      <c r="B108" s="1" t="s">
        <v>81</v>
      </c>
      <c r="C108" s="1" t="s">
        <v>24</v>
      </c>
      <c r="D108" s="5">
        <v>31</v>
      </c>
      <c r="E108" s="1" t="s">
        <v>30</v>
      </c>
      <c r="F108" s="1" t="s">
        <v>18</v>
      </c>
      <c r="G108" s="1">
        <v>3</v>
      </c>
      <c r="H108" s="9">
        <v>29638</v>
      </c>
      <c r="I108" s="8">
        <f t="shared" si="2"/>
        <v>88914</v>
      </c>
      <c r="J108" s="18">
        <v>0.1</v>
      </c>
      <c r="K108" s="8">
        <f t="shared" si="3"/>
        <v>80022.600000000006</v>
      </c>
      <c r="L108" s="14" t="s">
        <v>240</v>
      </c>
      <c r="M108" s="1" t="s">
        <v>45</v>
      </c>
      <c r="N108" s="28" t="s">
        <v>32</v>
      </c>
    </row>
    <row r="109" spans="1:14" x14ac:dyDescent="0.3">
      <c r="A109" s="25" t="s">
        <v>241</v>
      </c>
      <c r="B109" s="1" t="s">
        <v>23</v>
      </c>
      <c r="C109" s="1" t="s">
        <v>24</v>
      </c>
      <c r="D109" s="5">
        <v>53</v>
      </c>
      <c r="E109" s="1" t="s">
        <v>130</v>
      </c>
      <c r="F109" s="1" t="s">
        <v>39</v>
      </c>
      <c r="G109" s="1">
        <v>4</v>
      </c>
      <c r="H109" s="9">
        <v>9221</v>
      </c>
      <c r="I109" s="8">
        <f t="shared" si="2"/>
        <v>36884</v>
      </c>
      <c r="J109" s="18">
        <v>0</v>
      </c>
      <c r="K109" s="8">
        <f t="shared" si="3"/>
        <v>36884</v>
      </c>
      <c r="L109" s="14" t="s">
        <v>96</v>
      </c>
      <c r="M109" s="1" t="s">
        <v>45</v>
      </c>
      <c r="N109" s="28" t="s">
        <v>40</v>
      </c>
    </row>
    <row r="110" spans="1:14" x14ac:dyDescent="0.3">
      <c r="A110" s="25" t="s">
        <v>242</v>
      </c>
      <c r="B110" s="1" t="s">
        <v>34</v>
      </c>
      <c r="C110" s="1" t="s">
        <v>16</v>
      </c>
      <c r="D110" s="5">
        <v>51</v>
      </c>
      <c r="E110" s="1" t="s">
        <v>17</v>
      </c>
      <c r="F110" s="1" t="s">
        <v>18</v>
      </c>
      <c r="G110" s="1">
        <v>3</v>
      </c>
      <c r="H110" s="9">
        <v>29042</v>
      </c>
      <c r="I110" s="8">
        <f t="shared" si="2"/>
        <v>87126</v>
      </c>
      <c r="J110" s="18">
        <v>0.05</v>
      </c>
      <c r="K110" s="8">
        <f t="shared" si="3"/>
        <v>82769.7</v>
      </c>
      <c r="L110" s="14" t="s">
        <v>243</v>
      </c>
      <c r="M110" s="1" t="s">
        <v>45</v>
      </c>
      <c r="N110" s="28" t="s">
        <v>32</v>
      </c>
    </row>
    <row r="111" spans="1:14" x14ac:dyDescent="0.3">
      <c r="A111" s="25" t="s">
        <v>244</v>
      </c>
      <c r="B111" s="1" t="s">
        <v>76</v>
      </c>
      <c r="C111" s="1" t="s">
        <v>24</v>
      </c>
      <c r="D111" s="5">
        <v>30</v>
      </c>
      <c r="E111" s="1" t="s">
        <v>38</v>
      </c>
      <c r="F111" s="1" t="s">
        <v>39</v>
      </c>
      <c r="G111" s="1">
        <v>2</v>
      </c>
      <c r="H111" s="9">
        <v>6457</v>
      </c>
      <c r="I111" s="8">
        <f t="shared" si="2"/>
        <v>12914</v>
      </c>
      <c r="J111" s="18">
        <v>0.1</v>
      </c>
      <c r="K111" s="8">
        <f t="shared" si="3"/>
        <v>11622.6</v>
      </c>
      <c r="L111" s="14" t="s">
        <v>168</v>
      </c>
      <c r="M111" s="1" t="s">
        <v>20</v>
      </c>
      <c r="N111" s="28" t="s">
        <v>21</v>
      </c>
    </row>
    <row r="112" spans="1:14" x14ac:dyDescent="0.3">
      <c r="A112" s="25" t="s">
        <v>245</v>
      </c>
      <c r="B112" s="1" t="s">
        <v>15</v>
      </c>
      <c r="C112" s="1" t="s">
        <v>16</v>
      </c>
      <c r="D112" s="5">
        <v>39</v>
      </c>
      <c r="E112" s="1" t="s">
        <v>47</v>
      </c>
      <c r="F112" s="1" t="s">
        <v>48</v>
      </c>
      <c r="G112" s="1">
        <v>2</v>
      </c>
      <c r="H112" s="9">
        <v>26477</v>
      </c>
      <c r="I112" s="8">
        <f t="shared" si="2"/>
        <v>52954</v>
      </c>
      <c r="J112" s="18">
        <v>0.05</v>
      </c>
      <c r="K112" s="8">
        <f t="shared" si="3"/>
        <v>50306.3</v>
      </c>
      <c r="L112" s="14" t="s">
        <v>224</v>
      </c>
      <c r="M112" s="1" t="s">
        <v>27</v>
      </c>
      <c r="N112" s="28" t="s">
        <v>28</v>
      </c>
    </row>
    <row r="113" spans="1:14" x14ac:dyDescent="0.3">
      <c r="A113" s="25" t="s">
        <v>246</v>
      </c>
      <c r="B113" s="1" t="s">
        <v>23</v>
      </c>
      <c r="C113" s="1" t="s">
        <v>24</v>
      </c>
      <c r="D113" s="5">
        <v>40</v>
      </c>
      <c r="E113" s="1" t="s">
        <v>59</v>
      </c>
      <c r="F113" s="1" t="s">
        <v>48</v>
      </c>
      <c r="G113" s="1">
        <v>5</v>
      </c>
      <c r="H113" s="9">
        <v>1195</v>
      </c>
      <c r="I113" s="8">
        <f t="shared" si="2"/>
        <v>5975</v>
      </c>
      <c r="J113" s="18">
        <v>0.15</v>
      </c>
      <c r="K113" s="8">
        <f t="shared" si="3"/>
        <v>5078.75</v>
      </c>
      <c r="L113" s="14" t="s">
        <v>247</v>
      </c>
      <c r="M113" s="1" t="s">
        <v>45</v>
      </c>
      <c r="N113" s="28" t="s">
        <v>21</v>
      </c>
    </row>
    <row r="114" spans="1:14" x14ac:dyDescent="0.3">
      <c r="A114" s="25" t="s">
        <v>248</v>
      </c>
      <c r="B114" s="1" t="s">
        <v>15</v>
      </c>
      <c r="C114" s="1" t="s">
        <v>16</v>
      </c>
      <c r="D114" s="5">
        <v>41</v>
      </c>
      <c r="E114" s="1" t="s">
        <v>25</v>
      </c>
      <c r="F114" s="1" t="s">
        <v>18</v>
      </c>
      <c r="G114" s="1">
        <v>1</v>
      </c>
      <c r="H114" s="9">
        <v>8152</v>
      </c>
      <c r="I114" s="8">
        <f t="shared" si="2"/>
        <v>8152</v>
      </c>
      <c r="J114" s="18">
        <v>0.1</v>
      </c>
      <c r="K114" s="8">
        <f t="shared" si="3"/>
        <v>7336.8</v>
      </c>
      <c r="L114" s="14" t="s">
        <v>142</v>
      </c>
      <c r="M114" s="1" t="s">
        <v>36</v>
      </c>
      <c r="N114" s="28" t="s">
        <v>28</v>
      </c>
    </row>
    <row r="115" spans="1:14" x14ac:dyDescent="0.3">
      <c r="A115" s="25" t="s">
        <v>249</v>
      </c>
      <c r="B115" s="1" t="s">
        <v>81</v>
      </c>
      <c r="C115" s="1" t="s">
        <v>24</v>
      </c>
      <c r="D115" s="5">
        <v>51</v>
      </c>
      <c r="E115" s="1" t="s">
        <v>42</v>
      </c>
      <c r="F115" s="1" t="s">
        <v>43</v>
      </c>
      <c r="G115" s="1">
        <v>3</v>
      </c>
      <c r="H115" s="9">
        <v>17425</v>
      </c>
      <c r="I115" s="8">
        <f t="shared" si="2"/>
        <v>52275</v>
      </c>
      <c r="J115" s="18">
        <v>0</v>
      </c>
      <c r="K115" s="8">
        <f t="shared" si="3"/>
        <v>52275</v>
      </c>
      <c r="L115" s="14" t="s">
        <v>250</v>
      </c>
      <c r="M115" s="1" t="s">
        <v>36</v>
      </c>
      <c r="N115" s="28" t="s">
        <v>40</v>
      </c>
    </row>
    <row r="116" spans="1:14" x14ac:dyDescent="0.3">
      <c r="A116" s="25" t="s">
        <v>251</v>
      </c>
      <c r="B116" s="1" t="s">
        <v>51</v>
      </c>
      <c r="C116" s="1" t="s">
        <v>16</v>
      </c>
      <c r="D116" s="5">
        <v>35</v>
      </c>
      <c r="E116" s="1" t="s">
        <v>47</v>
      </c>
      <c r="F116" s="1" t="s">
        <v>48</v>
      </c>
      <c r="G116" s="1">
        <v>5</v>
      </c>
      <c r="H116" s="9">
        <v>25975</v>
      </c>
      <c r="I116" s="8">
        <f t="shared" si="2"/>
        <v>129875</v>
      </c>
      <c r="J116" s="18">
        <v>0.1</v>
      </c>
      <c r="K116" s="8">
        <f t="shared" si="3"/>
        <v>116887.5</v>
      </c>
      <c r="L116" s="14" t="s">
        <v>252</v>
      </c>
      <c r="M116" s="1" t="s">
        <v>45</v>
      </c>
      <c r="N116" s="28" t="s">
        <v>40</v>
      </c>
    </row>
    <row r="117" spans="1:14" x14ac:dyDescent="0.3">
      <c r="A117" s="25" t="s">
        <v>253</v>
      </c>
      <c r="B117" s="1" t="s">
        <v>76</v>
      </c>
      <c r="C117" s="1" t="s">
        <v>24</v>
      </c>
      <c r="D117" s="5">
        <v>23</v>
      </c>
      <c r="E117" s="1" t="s">
        <v>17</v>
      </c>
      <c r="F117" s="1" t="s">
        <v>18</v>
      </c>
      <c r="G117" s="1">
        <v>3</v>
      </c>
      <c r="H117" s="9">
        <v>4745</v>
      </c>
      <c r="I117" s="8">
        <f t="shared" si="2"/>
        <v>14235</v>
      </c>
      <c r="J117" s="18">
        <v>0.15</v>
      </c>
      <c r="K117" s="8">
        <f t="shared" si="3"/>
        <v>12099.75</v>
      </c>
      <c r="L117" s="14" t="s">
        <v>254</v>
      </c>
      <c r="M117" s="1" t="s">
        <v>36</v>
      </c>
      <c r="N117" s="28" t="s">
        <v>28</v>
      </c>
    </row>
    <row r="118" spans="1:14" x14ac:dyDescent="0.3">
      <c r="A118" s="25" t="s">
        <v>255</v>
      </c>
      <c r="B118" s="1" t="s">
        <v>23</v>
      </c>
      <c r="C118" s="1" t="s">
        <v>24</v>
      </c>
      <c r="D118" s="5">
        <v>43</v>
      </c>
      <c r="E118" s="1" t="s">
        <v>130</v>
      </c>
      <c r="F118" s="1" t="s">
        <v>39</v>
      </c>
      <c r="G118" s="1">
        <v>4</v>
      </c>
      <c r="H118" s="9">
        <v>4471</v>
      </c>
      <c r="I118" s="8">
        <f t="shared" si="2"/>
        <v>17884</v>
      </c>
      <c r="J118" s="18">
        <v>0.2</v>
      </c>
      <c r="K118" s="8">
        <f t="shared" si="3"/>
        <v>14307.2</v>
      </c>
      <c r="L118" s="14" t="s">
        <v>102</v>
      </c>
      <c r="M118" s="1" t="s">
        <v>36</v>
      </c>
      <c r="N118" s="28" t="s">
        <v>28</v>
      </c>
    </row>
    <row r="119" spans="1:14" x14ac:dyDescent="0.3">
      <c r="A119" s="25" t="s">
        <v>256</v>
      </c>
      <c r="B119" s="1" t="s">
        <v>15</v>
      </c>
      <c r="C119" s="1" t="s">
        <v>16</v>
      </c>
      <c r="D119" s="5">
        <v>29</v>
      </c>
      <c r="E119" s="1" t="s">
        <v>47</v>
      </c>
      <c r="F119" s="1" t="s">
        <v>48</v>
      </c>
      <c r="G119" s="1">
        <v>1</v>
      </c>
      <c r="H119" s="9">
        <v>11225</v>
      </c>
      <c r="I119" s="8">
        <f t="shared" si="2"/>
        <v>11225</v>
      </c>
      <c r="J119" s="18">
        <v>0</v>
      </c>
      <c r="K119" s="8">
        <f t="shared" si="3"/>
        <v>11225</v>
      </c>
      <c r="L119" s="14" t="s">
        <v>257</v>
      </c>
      <c r="M119" s="1" t="s">
        <v>27</v>
      </c>
      <c r="N119" s="28" t="s">
        <v>21</v>
      </c>
    </row>
    <row r="120" spans="1:14" x14ac:dyDescent="0.3">
      <c r="A120" s="25" t="s">
        <v>258</v>
      </c>
      <c r="B120" s="1" t="s">
        <v>69</v>
      </c>
      <c r="C120" s="1" t="s">
        <v>16</v>
      </c>
      <c r="D120" s="5">
        <v>28</v>
      </c>
      <c r="E120" s="1" t="s">
        <v>59</v>
      </c>
      <c r="F120" s="1" t="s">
        <v>48</v>
      </c>
      <c r="G120" s="1">
        <v>3</v>
      </c>
      <c r="H120" s="9">
        <v>12379</v>
      </c>
      <c r="I120" s="8">
        <f t="shared" si="2"/>
        <v>37137</v>
      </c>
      <c r="J120" s="18">
        <v>0.1</v>
      </c>
      <c r="K120" s="8">
        <f t="shared" si="3"/>
        <v>33423.300000000003</v>
      </c>
      <c r="L120" s="14" t="s">
        <v>199</v>
      </c>
      <c r="M120" s="1" t="s">
        <v>27</v>
      </c>
      <c r="N120" s="28" t="s">
        <v>28</v>
      </c>
    </row>
    <row r="121" spans="1:14" x14ac:dyDescent="0.3">
      <c r="A121" s="25" t="s">
        <v>259</v>
      </c>
      <c r="B121" s="1" t="s">
        <v>54</v>
      </c>
      <c r="C121" s="1" t="s">
        <v>24</v>
      </c>
      <c r="D121" s="5">
        <v>52</v>
      </c>
      <c r="E121" s="1" t="s">
        <v>59</v>
      </c>
      <c r="F121" s="1" t="s">
        <v>48</v>
      </c>
      <c r="G121" s="1">
        <v>3</v>
      </c>
      <c r="H121" s="9">
        <v>21571</v>
      </c>
      <c r="I121" s="8">
        <f t="shared" si="2"/>
        <v>64713</v>
      </c>
      <c r="J121" s="18">
        <v>0.2</v>
      </c>
      <c r="K121" s="8">
        <f t="shared" si="3"/>
        <v>51770.400000000001</v>
      </c>
      <c r="L121" s="14" t="s">
        <v>260</v>
      </c>
      <c r="M121" s="1" t="s">
        <v>36</v>
      </c>
      <c r="N121" s="28" t="s">
        <v>32</v>
      </c>
    </row>
    <row r="122" spans="1:14" x14ac:dyDescent="0.3">
      <c r="A122" s="25" t="s">
        <v>261</v>
      </c>
      <c r="B122" s="1" t="s">
        <v>34</v>
      </c>
      <c r="C122" s="1" t="s">
        <v>16</v>
      </c>
      <c r="D122" s="5">
        <v>21</v>
      </c>
      <c r="E122" s="1" t="s">
        <v>38</v>
      </c>
      <c r="F122" s="1" t="s">
        <v>39</v>
      </c>
      <c r="G122" s="1">
        <v>1</v>
      </c>
      <c r="H122" s="9">
        <v>14054</v>
      </c>
      <c r="I122" s="8">
        <f t="shared" si="2"/>
        <v>14054</v>
      </c>
      <c r="J122" s="18">
        <v>0.2</v>
      </c>
      <c r="K122" s="8">
        <f t="shared" si="3"/>
        <v>11243.2</v>
      </c>
      <c r="L122" s="14" t="s">
        <v>218</v>
      </c>
      <c r="M122" s="1" t="s">
        <v>45</v>
      </c>
      <c r="N122" s="28" t="s">
        <v>40</v>
      </c>
    </row>
    <row r="123" spans="1:14" x14ac:dyDescent="0.3">
      <c r="A123" s="25" t="s">
        <v>262</v>
      </c>
      <c r="B123" s="1" t="s">
        <v>23</v>
      </c>
      <c r="C123" s="1" t="s">
        <v>24</v>
      </c>
      <c r="D123" s="5">
        <v>42</v>
      </c>
      <c r="E123" s="1" t="s">
        <v>25</v>
      </c>
      <c r="F123" s="1" t="s">
        <v>18</v>
      </c>
      <c r="G123" s="1">
        <v>5</v>
      </c>
      <c r="H123" s="9">
        <v>29162</v>
      </c>
      <c r="I123" s="8">
        <f t="shared" si="2"/>
        <v>145810</v>
      </c>
      <c r="J123" s="18">
        <v>0.2</v>
      </c>
      <c r="K123" s="8">
        <f t="shared" si="3"/>
        <v>116648</v>
      </c>
      <c r="L123" s="14" t="s">
        <v>263</v>
      </c>
      <c r="M123" s="1" t="s">
        <v>27</v>
      </c>
      <c r="N123" s="28" t="s">
        <v>40</v>
      </c>
    </row>
    <row r="124" spans="1:14" x14ac:dyDescent="0.3">
      <c r="A124" s="25" t="s">
        <v>264</v>
      </c>
      <c r="B124" s="1" t="s">
        <v>54</v>
      </c>
      <c r="C124" s="1" t="s">
        <v>24</v>
      </c>
      <c r="D124" s="5">
        <v>20</v>
      </c>
      <c r="E124" s="1" t="s">
        <v>130</v>
      </c>
      <c r="F124" s="1" t="s">
        <v>39</v>
      </c>
      <c r="G124" s="1">
        <v>2</v>
      </c>
      <c r="H124" s="9">
        <v>2755</v>
      </c>
      <c r="I124" s="8">
        <f t="shared" si="2"/>
        <v>5510</v>
      </c>
      <c r="J124" s="18">
        <v>0</v>
      </c>
      <c r="K124" s="8">
        <f t="shared" si="3"/>
        <v>5510</v>
      </c>
      <c r="L124" s="14" t="s">
        <v>265</v>
      </c>
      <c r="M124" s="1" t="s">
        <v>45</v>
      </c>
      <c r="N124" s="28" t="s">
        <v>28</v>
      </c>
    </row>
    <row r="125" spans="1:14" x14ac:dyDescent="0.3">
      <c r="A125" s="25" t="s">
        <v>266</v>
      </c>
      <c r="B125" s="1" t="s">
        <v>76</v>
      </c>
      <c r="C125" s="1" t="s">
        <v>24</v>
      </c>
      <c r="D125" s="5">
        <v>59</v>
      </c>
      <c r="E125" s="1" t="s">
        <v>38</v>
      </c>
      <c r="F125" s="1" t="s">
        <v>39</v>
      </c>
      <c r="G125" s="1">
        <v>5</v>
      </c>
      <c r="H125" s="9">
        <v>13429</v>
      </c>
      <c r="I125" s="8">
        <f t="shared" si="2"/>
        <v>67145</v>
      </c>
      <c r="J125" s="18">
        <v>0</v>
      </c>
      <c r="K125" s="8">
        <f t="shared" si="3"/>
        <v>67145</v>
      </c>
      <c r="L125" s="14" t="s">
        <v>267</v>
      </c>
      <c r="M125" s="1" t="s">
        <v>36</v>
      </c>
      <c r="N125" s="28" t="s">
        <v>28</v>
      </c>
    </row>
    <row r="126" spans="1:14" x14ac:dyDescent="0.3">
      <c r="A126" s="25" t="s">
        <v>268</v>
      </c>
      <c r="B126" s="1" t="s">
        <v>15</v>
      </c>
      <c r="C126" s="1" t="s">
        <v>16</v>
      </c>
      <c r="D126" s="5">
        <v>22</v>
      </c>
      <c r="E126" s="1" t="s">
        <v>59</v>
      </c>
      <c r="F126" s="1" t="s">
        <v>48</v>
      </c>
      <c r="G126" s="1">
        <v>3</v>
      </c>
      <c r="H126" s="9">
        <v>837</v>
      </c>
      <c r="I126" s="8">
        <f t="shared" si="2"/>
        <v>2511</v>
      </c>
      <c r="J126" s="18">
        <v>0</v>
      </c>
      <c r="K126" s="8">
        <f t="shared" si="3"/>
        <v>2511</v>
      </c>
      <c r="L126" s="14" t="s">
        <v>269</v>
      </c>
      <c r="M126" s="1" t="s">
        <v>45</v>
      </c>
      <c r="N126" s="28" t="s">
        <v>21</v>
      </c>
    </row>
    <row r="127" spans="1:14" x14ac:dyDescent="0.3">
      <c r="A127" s="25" t="s">
        <v>270</v>
      </c>
      <c r="B127" s="1" t="s">
        <v>93</v>
      </c>
      <c r="C127" s="1" t="s">
        <v>16</v>
      </c>
      <c r="D127" s="5">
        <v>58</v>
      </c>
      <c r="E127" s="1" t="s">
        <v>130</v>
      </c>
      <c r="F127" s="1" t="s">
        <v>39</v>
      </c>
      <c r="G127" s="1">
        <v>3</v>
      </c>
      <c r="H127" s="9">
        <v>13463</v>
      </c>
      <c r="I127" s="8">
        <f t="shared" si="2"/>
        <v>40389</v>
      </c>
      <c r="J127" s="18">
        <v>0.15</v>
      </c>
      <c r="K127" s="8">
        <f t="shared" si="3"/>
        <v>34330.65</v>
      </c>
      <c r="L127" s="14" t="s">
        <v>271</v>
      </c>
      <c r="M127" s="1" t="s">
        <v>27</v>
      </c>
      <c r="N127" s="28" t="s">
        <v>21</v>
      </c>
    </row>
    <row r="128" spans="1:14" x14ac:dyDescent="0.3">
      <c r="A128" s="25" t="s">
        <v>272</v>
      </c>
      <c r="B128" s="1" t="s">
        <v>51</v>
      </c>
      <c r="C128" s="1" t="s">
        <v>16</v>
      </c>
      <c r="D128" s="5">
        <v>30</v>
      </c>
      <c r="E128" s="1" t="s">
        <v>25</v>
      </c>
      <c r="F128" s="1" t="s">
        <v>18</v>
      </c>
      <c r="G128" s="1">
        <v>1</v>
      </c>
      <c r="H128" s="9">
        <v>9923</v>
      </c>
      <c r="I128" s="8">
        <f t="shared" si="2"/>
        <v>9923</v>
      </c>
      <c r="J128" s="18">
        <v>0.05</v>
      </c>
      <c r="K128" s="8">
        <f t="shared" si="3"/>
        <v>9426.85</v>
      </c>
      <c r="L128" s="14" t="s">
        <v>273</v>
      </c>
      <c r="M128" s="1" t="s">
        <v>36</v>
      </c>
      <c r="N128" s="28" t="s">
        <v>40</v>
      </c>
    </row>
    <row r="129" spans="1:14" x14ac:dyDescent="0.3">
      <c r="A129" s="25" t="s">
        <v>274</v>
      </c>
      <c r="B129" s="1" t="s">
        <v>69</v>
      </c>
      <c r="C129" s="1" t="s">
        <v>16</v>
      </c>
      <c r="D129" s="5">
        <v>39</v>
      </c>
      <c r="E129" s="1" t="s">
        <v>130</v>
      </c>
      <c r="F129" s="1" t="s">
        <v>39</v>
      </c>
      <c r="G129" s="1">
        <v>4</v>
      </c>
      <c r="H129" s="9">
        <v>15699</v>
      </c>
      <c r="I129" s="8">
        <f t="shared" si="2"/>
        <v>62796</v>
      </c>
      <c r="J129" s="18">
        <v>0.2</v>
      </c>
      <c r="K129" s="8">
        <f t="shared" si="3"/>
        <v>50236.800000000003</v>
      </c>
      <c r="L129" s="14" t="s">
        <v>275</v>
      </c>
      <c r="M129" s="1" t="s">
        <v>27</v>
      </c>
      <c r="N129" s="28" t="s">
        <v>21</v>
      </c>
    </row>
    <row r="130" spans="1:14" x14ac:dyDescent="0.3">
      <c r="A130" s="25" t="s">
        <v>276</v>
      </c>
      <c r="B130" s="1" t="s">
        <v>23</v>
      </c>
      <c r="C130" s="1" t="s">
        <v>24</v>
      </c>
      <c r="D130" s="5">
        <v>53</v>
      </c>
      <c r="E130" s="1" t="s">
        <v>30</v>
      </c>
      <c r="F130" s="1" t="s">
        <v>18</v>
      </c>
      <c r="G130" s="1">
        <v>5</v>
      </c>
      <c r="H130" s="9">
        <v>13462</v>
      </c>
      <c r="I130" s="8">
        <f t="shared" si="2"/>
        <v>67310</v>
      </c>
      <c r="J130" s="18">
        <v>0.05</v>
      </c>
      <c r="K130" s="8">
        <f t="shared" si="3"/>
        <v>63944.5</v>
      </c>
      <c r="L130" s="14" t="s">
        <v>70</v>
      </c>
      <c r="M130" s="1" t="s">
        <v>27</v>
      </c>
      <c r="N130" s="28" t="s">
        <v>40</v>
      </c>
    </row>
    <row r="131" spans="1:14" x14ac:dyDescent="0.3">
      <c r="A131" s="25" t="s">
        <v>277</v>
      </c>
      <c r="B131" s="1" t="s">
        <v>23</v>
      </c>
      <c r="C131" s="1" t="s">
        <v>24</v>
      </c>
      <c r="D131" s="5">
        <v>19</v>
      </c>
      <c r="E131" s="1" t="s">
        <v>59</v>
      </c>
      <c r="F131" s="1" t="s">
        <v>48</v>
      </c>
      <c r="G131" s="1">
        <v>4</v>
      </c>
      <c r="H131" s="9">
        <v>11389</v>
      </c>
      <c r="I131" s="8">
        <f t="shared" ref="I131:I194" si="4">G131*H131</f>
        <v>45556</v>
      </c>
      <c r="J131" s="18">
        <v>0</v>
      </c>
      <c r="K131" s="8">
        <f t="shared" ref="K131:K194" si="5">I131-(I131*J131)</f>
        <v>45556</v>
      </c>
      <c r="L131" s="14" t="s">
        <v>278</v>
      </c>
      <c r="M131" s="1" t="s">
        <v>45</v>
      </c>
      <c r="N131" s="28" t="s">
        <v>40</v>
      </c>
    </row>
    <row r="132" spans="1:14" x14ac:dyDescent="0.3">
      <c r="A132" s="25" t="s">
        <v>279</v>
      </c>
      <c r="B132" s="1" t="s">
        <v>93</v>
      </c>
      <c r="C132" s="1" t="s">
        <v>16</v>
      </c>
      <c r="D132" s="5">
        <v>55</v>
      </c>
      <c r="E132" s="1" t="s">
        <v>38</v>
      </c>
      <c r="F132" s="1" t="s">
        <v>39</v>
      </c>
      <c r="G132" s="1">
        <v>3</v>
      </c>
      <c r="H132" s="9">
        <v>18093</v>
      </c>
      <c r="I132" s="8">
        <f t="shared" si="4"/>
        <v>54279</v>
      </c>
      <c r="J132" s="18">
        <v>0.2</v>
      </c>
      <c r="K132" s="8">
        <f t="shared" si="5"/>
        <v>43423.199999999997</v>
      </c>
      <c r="L132" s="14" t="s">
        <v>280</v>
      </c>
      <c r="M132" s="1" t="s">
        <v>20</v>
      </c>
      <c r="N132" s="28" t="s">
        <v>21</v>
      </c>
    </row>
    <row r="133" spans="1:14" x14ac:dyDescent="0.3">
      <c r="A133" s="25" t="s">
        <v>281</v>
      </c>
      <c r="B133" s="1" t="s">
        <v>76</v>
      </c>
      <c r="C133" s="1" t="s">
        <v>24</v>
      </c>
      <c r="D133" s="5">
        <v>42</v>
      </c>
      <c r="E133" s="1" t="s">
        <v>30</v>
      </c>
      <c r="F133" s="1" t="s">
        <v>18</v>
      </c>
      <c r="G133" s="1">
        <v>5</v>
      </c>
      <c r="H133" s="9">
        <v>24545</v>
      </c>
      <c r="I133" s="8">
        <f t="shared" si="4"/>
        <v>122725</v>
      </c>
      <c r="J133" s="18">
        <v>0.05</v>
      </c>
      <c r="K133" s="8">
        <f t="shared" si="5"/>
        <v>116588.75</v>
      </c>
      <c r="L133" s="14" t="s">
        <v>282</v>
      </c>
      <c r="M133" s="1" t="s">
        <v>36</v>
      </c>
      <c r="N133" s="28" t="s">
        <v>40</v>
      </c>
    </row>
    <row r="134" spans="1:14" x14ac:dyDescent="0.3">
      <c r="A134" s="25" t="s">
        <v>283</v>
      </c>
      <c r="B134" s="1" t="s">
        <v>69</v>
      </c>
      <c r="C134" s="1" t="s">
        <v>16</v>
      </c>
      <c r="D134" s="5">
        <v>41</v>
      </c>
      <c r="E134" s="1" t="s">
        <v>38</v>
      </c>
      <c r="F134" s="1" t="s">
        <v>39</v>
      </c>
      <c r="G134" s="1">
        <v>2</v>
      </c>
      <c r="H134" s="9">
        <v>13880</v>
      </c>
      <c r="I134" s="8">
        <f t="shared" si="4"/>
        <v>27760</v>
      </c>
      <c r="J134" s="18">
        <v>0.05</v>
      </c>
      <c r="K134" s="8">
        <f t="shared" si="5"/>
        <v>26372</v>
      </c>
      <c r="L134" s="14" t="s">
        <v>284</v>
      </c>
      <c r="M134" s="1" t="s">
        <v>27</v>
      </c>
      <c r="N134" s="28" t="s">
        <v>32</v>
      </c>
    </row>
    <row r="135" spans="1:14" x14ac:dyDescent="0.3">
      <c r="A135" s="25" t="s">
        <v>285</v>
      </c>
      <c r="B135" s="1" t="s">
        <v>23</v>
      </c>
      <c r="C135" s="1" t="s">
        <v>24</v>
      </c>
      <c r="D135" s="5">
        <v>32</v>
      </c>
      <c r="E135" s="1" t="s">
        <v>30</v>
      </c>
      <c r="F135" s="1" t="s">
        <v>18</v>
      </c>
      <c r="G135" s="1">
        <v>5</v>
      </c>
      <c r="H135" s="9">
        <v>3793</v>
      </c>
      <c r="I135" s="8">
        <f t="shared" si="4"/>
        <v>18965</v>
      </c>
      <c r="J135" s="18">
        <v>0</v>
      </c>
      <c r="K135" s="8">
        <f t="shared" si="5"/>
        <v>18965</v>
      </c>
      <c r="L135" s="14" t="s">
        <v>190</v>
      </c>
      <c r="M135" s="1" t="s">
        <v>20</v>
      </c>
      <c r="N135" s="28" t="s">
        <v>40</v>
      </c>
    </row>
    <row r="136" spans="1:14" x14ac:dyDescent="0.3">
      <c r="A136" s="25" t="s">
        <v>286</v>
      </c>
      <c r="B136" s="1" t="s">
        <v>76</v>
      </c>
      <c r="C136" s="1" t="s">
        <v>24</v>
      </c>
      <c r="D136" s="5">
        <v>41</v>
      </c>
      <c r="E136" s="1" t="s">
        <v>25</v>
      </c>
      <c r="F136" s="1" t="s">
        <v>18</v>
      </c>
      <c r="G136" s="1">
        <v>2</v>
      </c>
      <c r="H136" s="9">
        <v>9991</v>
      </c>
      <c r="I136" s="8">
        <f t="shared" si="4"/>
        <v>19982</v>
      </c>
      <c r="J136" s="18">
        <v>0.2</v>
      </c>
      <c r="K136" s="8">
        <f t="shared" si="5"/>
        <v>15985.6</v>
      </c>
      <c r="L136" s="14" t="s">
        <v>287</v>
      </c>
      <c r="M136" s="1" t="s">
        <v>45</v>
      </c>
      <c r="N136" s="28" t="s">
        <v>40</v>
      </c>
    </row>
    <row r="137" spans="1:14" x14ac:dyDescent="0.3">
      <c r="A137" s="25" t="s">
        <v>288</v>
      </c>
      <c r="B137" s="1" t="s">
        <v>34</v>
      </c>
      <c r="C137" s="1" t="s">
        <v>16</v>
      </c>
      <c r="D137" s="5">
        <v>47</v>
      </c>
      <c r="E137" s="1" t="s">
        <v>25</v>
      </c>
      <c r="F137" s="1" t="s">
        <v>18</v>
      </c>
      <c r="G137" s="1">
        <v>3</v>
      </c>
      <c r="H137" s="9">
        <v>5331</v>
      </c>
      <c r="I137" s="8">
        <f t="shared" si="4"/>
        <v>15993</v>
      </c>
      <c r="J137" s="18">
        <v>0.15</v>
      </c>
      <c r="K137" s="8">
        <f t="shared" si="5"/>
        <v>13594.05</v>
      </c>
      <c r="L137" s="14" t="s">
        <v>289</v>
      </c>
      <c r="M137" s="1" t="s">
        <v>20</v>
      </c>
      <c r="N137" s="28" t="s">
        <v>32</v>
      </c>
    </row>
    <row r="138" spans="1:14" x14ac:dyDescent="0.3">
      <c r="A138" s="25" t="s">
        <v>290</v>
      </c>
      <c r="B138" s="1" t="s">
        <v>93</v>
      </c>
      <c r="C138" s="1" t="s">
        <v>16</v>
      </c>
      <c r="D138" s="5">
        <v>48</v>
      </c>
      <c r="E138" s="1" t="s">
        <v>130</v>
      </c>
      <c r="F138" s="1" t="s">
        <v>39</v>
      </c>
      <c r="G138" s="1">
        <v>5</v>
      </c>
      <c r="H138" s="9">
        <v>3696</v>
      </c>
      <c r="I138" s="8">
        <f t="shared" si="4"/>
        <v>18480</v>
      </c>
      <c r="J138" s="18">
        <v>0</v>
      </c>
      <c r="K138" s="8">
        <f t="shared" si="5"/>
        <v>18480</v>
      </c>
      <c r="L138" s="14" t="s">
        <v>291</v>
      </c>
      <c r="M138" s="1" t="s">
        <v>45</v>
      </c>
      <c r="N138" s="28" t="s">
        <v>32</v>
      </c>
    </row>
    <row r="139" spans="1:14" x14ac:dyDescent="0.3">
      <c r="A139" s="25" t="s">
        <v>292</v>
      </c>
      <c r="B139" s="1" t="s">
        <v>93</v>
      </c>
      <c r="C139" s="1" t="s">
        <v>16</v>
      </c>
      <c r="D139" s="5">
        <v>46</v>
      </c>
      <c r="E139" s="1" t="s">
        <v>47</v>
      </c>
      <c r="F139" s="1" t="s">
        <v>48</v>
      </c>
      <c r="G139" s="1">
        <v>2</v>
      </c>
      <c r="H139" s="9">
        <v>27308</v>
      </c>
      <c r="I139" s="8">
        <f t="shared" si="4"/>
        <v>54616</v>
      </c>
      <c r="J139" s="18">
        <v>0.15</v>
      </c>
      <c r="K139" s="8">
        <f t="shared" si="5"/>
        <v>46423.6</v>
      </c>
      <c r="L139" s="14" t="s">
        <v>293</v>
      </c>
      <c r="M139" s="1" t="s">
        <v>27</v>
      </c>
      <c r="N139" s="28" t="s">
        <v>40</v>
      </c>
    </row>
    <row r="140" spans="1:14" x14ac:dyDescent="0.3">
      <c r="A140" s="25" t="s">
        <v>294</v>
      </c>
      <c r="B140" s="1" t="s">
        <v>69</v>
      </c>
      <c r="C140" s="1" t="s">
        <v>16</v>
      </c>
      <c r="D140" s="5">
        <v>24</v>
      </c>
      <c r="E140" s="1" t="s">
        <v>47</v>
      </c>
      <c r="F140" s="1" t="s">
        <v>48</v>
      </c>
      <c r="G140" s="1">
        <v>5</v>
      </c>
      <c r="H140" s="9">
        <v>1810</v>
      </c>
      <c r="I140" s="8">
        <f t="shared" si="4"/>
        <v>9050</v>
      </c>
      <c r="J140" s="18">
        <v>0</v>
      </c>
      <c r="K140" s="8">
        <f t="shared" si="5"/>
        <v>9050</v>
      </c>
      <c r="L140" s="14" t="s">
        <v>295</v>
      </c>
      <c r="M140" s="1" t="s">
        <v>45</v>
      </c>
      <c r="N140" s="28" t="s">
        <v>21</v>
      </c>
    </row>
    <row r="141" spans="1:14" x14ac:dyDescent="0.3">
      <c r="A141" s="25" t="s">
        <v>296</v>
      </c>
      <c r="B141" s="1" t="s">
        <v>54</v>
      </c>
      <c r="C141" s="1" t="s">
        <v>24</v>
      </c>
      <c r="D141" s="5">
        <v>26</v>
      </c>
      <c r="E141" s="1" t="s">
        <v>17</v>
      </c>
      <c r="F141" s="1" t="s">
        <v>18</v>
      </c>
      <c r="G141" s="1">
        <v>2</v>
      </c>
      <c r="H141" s="9">
        <v>4896</v>
      </c>
      <c r="I141" s="8">
        <f t="shared" si="4"/>
        <v>9792</v>
      </c>
      <c r="J141" s="18">
        <v>0.2</v>
      </c>
      <c r="K141" s="8">
        <f t="shared" si="5"/>
        <v>7833.6</v>
      </c>
      <c r="L141" s="14" t="s">
        <v>297</v>
      </c>
      <c r="M141" s="1" t="s">
        <v>36</v>
      </c>
      <c r="N141" s="28" t="s">
        <v>32</v>
      </c>
    </row>
    <row r="142" spans="1:14" x14ac:dyDescent="0.3">
      <c r="A142" s="25" t="s">
        <v>298</v>
      </c>
      <c r="B142" s="1" t="s">
        <v>51</v>
      </c>
      <c r="C142" s="1" t="s">
        <v>16</v>
      </c>
      <c r="D142" s="5">
        <v>26</v>
      </c>
      <c r="E142" s="1" t="s">
        <v>42</v>
      </c>
      <c r="F142" s="1" t="s">
        <v>43</v>
      </c>
      <c r="G142" s="1">
        <v>3</v>
      </c>
      <c r="H142" s="9">
        <v>18379</v>
      </c>
      <c r="I142" s="8">
        <f t="shared" si="4"/>
        <v>55137</v>
      </c>
      <c r="J142" s="18">
        <v>0.05</v>
      </c>
      <c r="K142" s="8">
        <f t="shared" si="5"/>
        <v>52380.15</v>
      </c>
      <c r="L142" s="14" t="s">
        <v>190</v>
      </c>
      <c r="M142" s="1" t="s">
        <v>27</v>
      </c>
      <c r="N142" s="28" t="s">
        <v>40</v>
      </c>
    </row>
    <row r="143" spans="1:14" x14ac:dyDescent="0.3">
      <c r="A143" s="25" t="s">
        <v>299</v>
      </c>
      <c r="B143" s="1" t="s">
        <v>66</v>
      </c>
      <c r="C143" s="1" t="s">
        <v>24</v>
      </c>
      <c r="D143" s="5">
        <v>41</v>
      </c>
      <c r="E143" s="1" t="s">
        <v>47</v>
      </c>
      <c r="F143" s="1" t="s">
        <v>48</v>
      </c>
      <c r="G143" s="1">
        <v>4</v>
      </c>
      <c r="H143" s="9">
        <v>1608</v>
      </c>
      <c r="I143" s="8">
        <f t="shared" si="4"/>
        <v>6432</v>
      </c>
      <c r="J143" s="18">
        <v>0</v>
      </c>
      <c r="K143" s="8">
        <f t="shared" si="5"/>
        <v>6432</v>
      </c>
      <c r="L143" s="14" t="s">
        <v>67</v>
      </c>
      <c r="M143" s="1" t="s">
        <v>36</v>
      </c>
      <c r="N143" s="28" t="s">
        <v>28</v>
      </c>
    </row>
    <row r="144" spans="1:14" x14ac:dyDescent="0.3">
      <c r="A144" s="25" t="s">
        <v>300</v>
      </c>
      <c r="B144" s="1" t="s">
        <v>69</v>
      </c>
      <c r="C144" s="1" t="s">
        <v>16</v>
      </c>
      <c r="D144" s="5">
        <v>49</v>
      </c>
      <c r="E144" s="1" t="s">
        <v>17</v>
      </c>
      <c r="F144" s="1" t="s">
        <v>18</v>
      </c>
      <c r="G144" s="1">
        <v>2</v>
      </c>
      <c r="H144" s="9">
        <v>13909</v>
      </c>
      <c r="I144" s="8">
        <f t="shared" si="4"/>
        <v>27818</v>
      </c>
      <c r="J144" s="18">
        <v>0.1</v>
      </c>
      <c r="K144" s="8">
        <f t="shared" si="5"/>
        <v>25036.2</v>
      </c>
      <c r="L144" s="14" t="s">
        <v>35</v>
      </c>
      <c r="M144" s="1" t="s">
        <v>20</v>
      </c>
      <c r="N144" s="28" t="s">
        <v>28</v>
      </c>
    </row>
    <row r="145" spans="1:14" x14ac:dyDescent="0.3">
      <c r="A145" s="25" t="s">
        <v>301</v>
      </c>
      <c r="B145" s="1" t="s">
        <v>51</v>
      </c>
      <c r="C145" s="1" t="s">
        <v>16</v>
      </c>
      <c r="D145" s="5">
        <v>36</v>
      </c>
      <c r="E145" s="1" t="s">
        <v>38</v>
      </c>
      <c r="F145" s="1" t="s">
        <v>39</v>
      </c>
      <c r="G145" s="1">
        <v>1</v>
      </c>
      <c r="H145" s="9">
        <v>7435</v>
      </c>
      <c r="I145" s="8">
        <f t="shared" si="4"/>
        <v>7435</v>
      </c>
      <c r="J145" s="18">
        <v>0.05</v>
      </c>
      <c r="K145" s="8">
        <f t="shared" si="5"/>
        <v>7063.25</v>
      </c>
      <c r="L145" s="14" t="s">
        <v>302</v>
      </c>
      <c r="M145" s="1" t="s">
        <v>36</v>
      </c>
      <c r="N145" s="28" t="s">
        <v>28</v>
      </c>
    </row>
    <row r="146" spans="1:14" x14ac:dyDescent="0.3">
      <c r="A146" s="25" t="s">
        <v>303</v>
      </c>
      <c r="B146" s="1" t="s">
        <v>15</v>
      </c>
      <c r="C146" s="1" t="s">
        <v>16</v>
      </c>
      <c r="D146" s="5">
        <v>24</v>
      </c>
      <c r="E146" s="1" t="s">
        <v>47</v>
      </c>
      <c r="F146" s="1" t="s">
        <v>48</v>
      </c>
      <c r="G146" s="1">
        <v>2</v>
      </c>
      <c r="H146" s="9">
        <v>29779</v>
      </c>
      <c r="I146" s="8">
        <f t="shared" si="4"/>
        <v>59558</v>
      </c>
      <c r="J146" s="18">
        <v>0.1</v>
      </c>
      <c r="K146" s="8">
        <f t="shared" si="5"/>
        <v>53602.2</v>
      </c>
      <c r="L146" s="14" t="s">
        <v>304</v>
      </c>
      <c r="M146" s="1" t="s">
        <v>45</v>
      </c>
      <c r="N146" s="28" t="s">
        <v>28</v>
      </c>
    </row>
    <row r="147" spans="1:14" x14ac:dyDescent="0.3">
      <c r="A147" s="25" t="s">
        <v>305</v>
      </c>
      <c r="B147" s="1" t="s">
        <v>54</v>
      </c>
      <c r="C147" s="1" t="s">
        <v>24</v>
      </c>
      <c r="D147" s="5">
        <v>56</v>
      </c>
      <c r="E147" s="1" t="s">
        <v>47</v>
      </c>
      <c r="F147" s="1" t="s">
        <v>48</v>
      </c>
      <c r="G147" s="1">
        <v>4</v>
      </c>
      <c r="H147" s="9">
        <v>18845</v>
      </c>
      <c r="I147" s="8">
        <f t="shared" si="4"/>
        <v>75380</v>
      </c>
      <c r="J147" s="18">
        <v>0.2</v>
      </c>
      <c r="K147" s="8">
        <f t="shared" si="5"/>
        <v>60304</v>
      </c>
      <c r="L147" s="14" t="s">
        <v>306</v>
      </c>
      <c r="M147" s="1" t="s">
        <v>36</v>
      </c>
      <c r="N147" s="28" t="s">
        <v>40</v>
      </c>
    </row>
    <row r="148" spans="1:14" x14ac:dyDescent="0.3">
      <c r="A148" s="25" t="s">
        <v>307</v>
      </c>
      <c r="B148" s="1" t="s">
        <v>15</v>
      </c>
      <c r="C148" s="1" t="s">
        <v>16</v>
      </c>
      <c r="D148" s="5">
        <v>57</v>
      </c>
      <c r="E148" s="1" t="s">
        <v>130</v>
      </c>
      <c r="F148" s="1" t="s">
        <v>39</v>
      </c>
      <c r="G148" s="1">
        <v>2</v>
      </c>
      <c r="H148" s="9">
        <v>15382</v>
      </c>
      <c r="I148" s="8">
        <f t="shared" si="4"/>
        <v>30764</v>
      </c>
      <c r="J148" s="18">
        <v>0</v>
      </c>
      <c r="K148" s="8">
        <f t="shared" si="5"/>
        <v>30764</v>
      </c>
      <c r="L148" s="14" t="s">
        <v>308</v>
      </c>
      <c r="M148" s="1" t="s">
        <v>45</v>
      </c>
      <c r="N148" s="28" t="s">
        <v>21</v>
      </c>
    </row>
    <row r="149" spans="1:14" x14ac:dyDescent="0.3">
      <c r="A149" s="25" t="s">
        <v>309</v>
      </c>
      <c r="B149" s="1" t="s">
        <v>66</v>
      </c>
      <c r="C149" s="1" t="s">
        <v>24</v>
      </c>
      <c r="D149" s="5">
        <v>34</v>
      </c>
      <c r="E149" s="1" t="s">
        <v>25</v>
      </c>
      <c r="F149" s="1" t="s">
        <v>18</v>
      </c>
      <c r="G149" s="1">
        <v>2</v>
      </c>
      <c r="H149" s="9">
        <v>28319</v>
      </c>
      <c r="I149" s="8">
        <f t="shared" si="4"/>
        <v>56638</v>
      </c>
      <c r="J149" s="18">
        <v>0.05</v>
      </c>
      <c r="K149" s="8">
        <f t="shared" si="5"/>
        <v>53806.1</v>
      </c>
      <c r="L149" s="14" t="s">
        <v>310</v>
      </c>
      <c r="M149" s="1" t="s">
        <v>36</v>
      </c>
      <c r="N149" s="28" t="s">
        <v>32</v>
      </c>
    </row>
    <row r="150" spans="1:14" x14ac:dyDescent="0.3">
      <c r="A150" s="25" t="s">
        <v>311</v>
      </c>
      <c r="B150" s="1" t="s">
        <v>23</v>
      </c>
      <c r="C150" s="1" t="s">
        <v>24</v>
      </c>
      <c r="D150" s="5">
        <v>59</v>
      </c>
      <c r="E150" s="1" t="s">
        <v>130</v>
      </c>
      <c r="F150" s="1" t="s">
        <v>39</v>
      </c>
      <c r="G150" s="1">
        <v>5</v>
      </c>
      <c r="H150" s="9">
        <v>5188</v>
      </c>
      <c r="I150" s="8">
        <f t="shared" si="4"/>
        <v>25940</v>
      </c>
      <c r="J150" s="18">
        <v>0</v>
      </c>
      <c r="K150" s="8">
        <f t="shared" si="5"/>
        <v>25940</v>
      </c>
      <c r="L150" s="14" t="s">
        <v>312</v>
      </c>
      <c r="M150" s="1" t="s">
        <v>36</v>
      </c>
      <c r="N150" s="28" t="s">
        <v>28</v>
      </c>
    </row>
    <row r="151" spans="1:14" x14ac:dyDescent="0.3">
      <c r="A151" s="25" t="s">
        <v>313</v>
      </c>
      <c r="B151" s="1" t="s">
        <v>93</v>
      </c>
      <c r="C151" s="1" t="s">
        <v>16</v>
      </c>
      <c r="D151" s="5">
        <v>33</v>
      </c>
      <c r="E151" s="1" t="s">
        <v>59</v>
      </c>
      <c r="F151" s="1" t="s">
        <v>48</v>
      </c>
      <c r="G151" s="1">
        <v>2</v>
      </c>
      <c r="H151" s="9">
        <v>14079</v>
      </c>
      <c r="I151" s="8">
        <f t="shared" si="4"/>
        <v>28158</v>
      </c>
      <c r="J151" s="18">
        <v>0</v>
      </c>
      <c r="K151" s="8">
        <f t="shared" si="5"/>
        <v>28158</v>
      </c>
      <c r="L151" s="14" t="s">
        <v>118</v>
      </c>
      <c r="M151" s="1" t="s">
        <v>45</v>
      </c>
      <c r="N151" s="28" t="s">
        <v>28</v>
      </c>
    </row>
    <row r="152" spans="1:14" x14ac:dyDescent="0.3">
      <c r="A152" s="25" t="s">
        <v>314</v>
      </c>
      <c r="B152" s="1" t="s">
        <v>93</v>
      </c>
      <c r="C152" s="1" t="s">
        <v>16</v>
      </c>
      <c r="D152" s="5">
        <v>37</v>
      </c>
      <c r="E152" s="1" t="s">
        <v>25</v>
      </c>
      <c r="F152" s="1" t="s">
        <v>18</v>
      </c>
      <c r="G152" s="1">
        <v>3</v>
      </c>
      <c r="H152" s="9">
        <v>8593</v>
      </c>
      <c r="I152" s="8">
        <f t="shared" si="4"/>
        <v>25779</v>
      </c>
      <c r="J152" s="18">
        <v>0.2</v>
      </c>
      <c r="K152" s="8">
        <f t="shared" si="5"/>
        <v>20623.2</v>
      </c>
      <c r="L152" s="14" t="s">
        <v>315</v>
      </c>
      <c r="M152" s="1" t="s">
        <v>36</v>
      </c>
      <c r="N152" s="28" t="s">
        <v>28</v>
      </c>
    </row>
    <row r="153" spans="1:14" x14ac:dyDescent="0.3">
      <c r="A153" s="25" t="s">
        <v>316</v>
      </c>
      <c r="B153" s="1" t="s">
        <v>76</v>
      </c>
      <c r="C153" s="1" t="s">
        <v>24</v>
      </c>
      <c r="D153" s="5">
        <v>25</v>
      </c>
      <c r="E153" s="1" t="s">
        <v>42</v>
      </c>
      <c r="F153" s="1" t="s">
        <v>43</v>
      </c>
      <c r="G153" s="1">
        <v>2</v>
      </c>
      <c r="H153" s="9">
        <v>8397</v>
      </c>
      <c r="I153" s="8">
        <f t="shared" si="4"/>
        <v>16794</v>
      </c>
      <c r="J153" s="18">
        <v>0</v>
      </c>
      <c r="K153" s="8">
        <f t="shared" si="5"/>
        <v>16794</v>
      </c>
      <c r="L153" s="14" t="s">
        <v>317</v>
      </c>
      <c r="M153" s="1" t="s">
        <v>45</v>
      </c>
      <c r="N153" s="28" t="s">
        <v>28</v>
      </c>
    </row>
    <row r="154" spans="1:14" x14ac:dyDescent="0.3">
      <c r="A154" s="25" t="s">
        <v>318</v>
      </c>
      <c r="B154" s="1" t="s">
        <v>23</v>
      </c>
      <c r="C154" s="1" t="s">
        <v>24</v>
      </c>
      <c r="D154" s="5">
        <v>34</v>
      </c>
      <c r="E154" s="1" t="s">
        <v>42</v>
      </c>
      <c r="F154" s="1" t="s">
        <v>43</v>
      </c>
      <c r="G154" s="1">
        <v>3</v>
      </c>
      <c r="H154" s="9">
        <v>17456</v>
      </c>
      <c r="I154" s="8">
        <f t="shared" si="4"/>
        <v>52368</v>
      </c>
      <c r="J154" s="18">
        <v>0</v>
      </c>
      <c r="K154" s="8">
        <f t="shared" si="5"/>
        <v>52368</v>
      </c>
      <c r="L154" s="14" t="s">
        <v>319</v>
      </c>
      <c r="M154" s="1" t="s">
        <v>45</v>
      </c>
      <c r="N154" s="28" t="s">
        <v>32</v>
      </c>
    </row>
    <row r="155" spans="1:14" x14ac:dyDescent="0.3">
      <c r="A155" s="25" t="s">
        <v>320</v>
      </c>
      <c r="B155" s="1" t="s">
        <v>66</v>
      </c>
      <c r="C155" s="1" t="s">
        <v>24</v>
      </c>
      <c r="D155" s="5">
        <v>43</v>
      </c>
      <c r="E155" s="1" t="s">
        <v>17</v>
      </c>
      <c r="F155" s="1" t="s">
        <v>18</v>
      </c>
      <c r="G155" s="1">
        <v>2</v>
      </c>
      <c r="H155" s="9">
        <v>13671</v>
      </c>
      <c r="I155" s="8">
        <f t="shared" si="4"/>
        <v>27342</v>
      </c>
      <c r="J155" s="18">
        <v>0</v>
      </c>
      <c r="K155" s="8">
        <f t="shared" si="5"/>
        <v>27342</v>
      </c>
      <c r="L155" s="14" t="s">
        <v>321</v>
      </c>
      <c r="M155" s="1" t="s">
        <v>27</v>
      </c>
      <c r="N155" s="28" t="s">
        <v>32</v>
      </c>
    </row>
    <row r="156" spans="1:14" x14ac:dyDescent="0.3">
      <c r="A156" s="25" t="s">
        <v>322</v>
      </c>
      <c r="B156" s="1" t="s">
        <v>66</v>
      </c>
      <c r="C156" s="1" t="s">
        <v>24</v>
      </c>
      <c r="D156" s="5">
        <v>54</v>
      </c>
      <c r="E156" s="1" t="s">
        <v>38</v>
      </c>
      <c r="F156" s="1" t="s">
        <v>39</v>
      </c>
      <c r="G156" s="1">
        <v>4</v>
      </c>
      <c r="H156" s="9">
        <v>26544</v>
      </c>
      <c r="I156" s="8">
        <f t="shared" si="4"/>
        <v>106176</v>
      </c>
      <c r="J156" s="18">
        <v>0.2</v>
      </c>
      <c r="K156" s="8">
        <f t="shared" si="5"/>
        <v>84940.800000000003</v>
      </c>
      <c r="L156" s="14" t="s">
        <v>323</v>
      </c>
      <c r="M156" s="1" t="s">
        <v>27</v>
      </c>
      <c r="N156" s="28" t="s">
        <v>40</v>
      </c>
    </row>
    <row r="157" spans="1:14" x14ac:dyDescent="0.3">
      <c r="A157" s="25" t="s">
        <v>324</v>
      </c>
      <c r="B157" s="1" t="s">
        <v>23</v>
      </c>
      <c r="C157" s="1" t="s">
        <v>24</v>
      </c>
      <c r="D157" s="5">
        <v>31</v>
      </c>
      <c r="E157" s="1" t="s">
        <v>130</v>
      </c>
      <c r="F157" s="1" t="s">
        <v>39</v>
      </c>
      <c r="G157" s="1">
        <v>4</v>
      </c>
      <c r="H157" s="9">
        <v>9509</v>
      </c>
      <c r="I157" s="8">
        <f t="shared" si="4"/>
        <v>38036</v>
      </c>
      <c r="J157" s="18">
        <v>0.2</v>
      </c>
      <c r="K157" s="8">
        <f t="shared" si="5"/>
        <v>30428.799999999999</v>
      </c>
      <c r="L157" s="14" t="s">
        <v>287</v>
      </c>
      <c r="M157" s="1" t="s">
        <v>36</v>
      </c>
      <c r="N157" s="28" t="s">
        <v>21</v>
      </c>
    </row>
    <row r="158" spans="1:14" x14ac:dyDescent="0.3">
      <c r="A158" s="25" t="s">
        <v>325</v>
      </c>
      <c r="B158" s="1" t="s">
        <v>51</v>
      </c>
      <c r="C158" s="1" t="s">
        <v>16</v>
      </c>
      <c r="D158" s="5">
        <v>22</v>
      </c>
      <c r="E158" s="1" t="s">
        <v>130</v>
      </c>
      <c r="F158" s="1" t="s">
        <v>39</v>
      </c>
      <c r="G158" s="1">
        <v>1</v>
      </c>
      <c r="H158" s="9">
        <v>8158</v>
      </c>
      <c r="I158" s="8">
        <f t="shared" si="4"/>
        <v>8158</v>
      </c>
      <c r="J158" s="18">
        <v>0.1</v>
      </c>
      <c r="K158" s="8">
        <f t="shared" si="5"/>
        <v>7342.2</v>
      </c>
      <c r="L158" s="14" t="s">
        <v>265</v>
      </c>
      <c r="M158" s="1" t="s">
        <v>45</v>
      </c>
      <c r="N158" s="28" t="s">
        <v>32</v>
      </c>
    </row>
    <row r="159" spans="1:14" x14ac:dyDescent="0.3">
      <c r="A159" s="25" t="s">
        <v>326</v>
      </c>
      <c r="B159" s="1" t="s">
        <v>23</v>
      </c>
      <c r="C159" s="1" t="s">
        <v>24</v>
      </c>
      <c r="D159" s="5">
        <v>54</v>
      </c>
      <c r="E159" s="1" t="s">
        <v>30</v>
      </c>
      <c r="F159" s="1" t="s">
        <v>18</v>
      </c>
      <c r="G159" s="1">
        <v>4</v>
      </c>
      <c r="H159" s="9">
        <v>10033</v>
      </c>
      <c r="I159" s="8">
        <f t="shared" si="4"/>
        <v>40132</v>
      </c>
      <c r="J159" s="18">
        <v>0.1</v>
      </c>
      <c r="K159" s="8">
        <f t="shared" si="5"/>
        <v>36118.800000000003</v>
      </c>
      <c r="L159" s="14" t="s">
        <v>203</v>
      </c>
      <c r="M159" s="1" t="s">
        <v>45</v>
      </c>
      <c r="N159" s="28" t="s">
        <v>32</v>
      </c>
    </row>
    <row r="160" spans="1:14" x14ac:dyDescent="0.3">
      <c r="A160" s="25" t="s">
        <v>327</v>
      </c>
      <c r="B160" s="1" t="s">
        <v>15</v>
      </c>
      <c r="C160" s="1" t="s">
        <v>16</v>
      </c>
      <c r="D160" s="5">
        <v>49</v>
      </c>
      <c r="E160" s="1" t="s">
        <v>17</v>
      </c>
      <c r="F160" s="1" t="s">
        <v>18</v>
      </c>
      <c r="G160" s="1">
        <v>2</v>
      </c>
      <c r="H160" s="9">
        <v>28839</v>
      </c>
      <c r="I160" s="8">
        <f t="shared" si="4"/>
        <v>57678</v>
      </c>
      <c r="J160" s="18">
        <v>0.1</v>
      </c>
      <c r="K160" s="8">
        <f t="shared" si="5"/>
        <v>51910.2</v>
      </c>
      <c r="L160" s="14" t="s">
        <v>234</v>
      </c>
      <c r="M160" s="1" t="s">
        <v>27</v>
      </c>
      <c r="N160" s="28" t="s">
        <v>21</v>
      </c>
    </row>
    <row r="161" spans="1:14" x14ac:dyDescent="0.3">
      <c r="A161" s="25" t="s">
        <v>328</v>
      </c>
      <c r="B161" s="1" t="s">
        <v>81</v>
      </c>
      <c r="C161" s="1" t="s">
        <v>24</v>
      </c>
      <c r="D161" s="5">
        <v>25</v>
      </c>
      <c r="E161" s="1" t="s">
        <v>130</v>
      </c>
      <c r="F161" s="1" t="s">
        <v>39</v>
      </c>
      <c r="G161" s="1">
        <v>4</v>
      </c>
      <c r="H161" s="9">
        <v>27511</v>
      </c>
      <c r="I161" s="8">
        <f t="shared" si="4"/>
        <v>110044</v>
      </c>
      <c r="J161" s="18">
        <v>0.1</v>
      </c>
      <c r="K161" s="8">
        <f t="shared" si="5"/>
        <v>99039.6</v>
      </c>
      <c r="L161" s="14" t="s">
        <v>329</v>
      </c>
      <c r="M161" s="1" t="s">
        <v>36</v>
      </c>
      <c r="N161" s="28" t="s">
        <v>40</v>
      </c>
    </row>
    <row r="162" spans="1:14" x14ac:dyDescent="0.3">
      <c r="A162" s="25" t="s">
        <v>330</v>
      </c>
      <c r="B162" s="1" t="s">
        <v>69</v>
      </c>
      <c r="C162" s="1" t="s">
        <v>16</v>
      </c>
      <c r="D162" s="5">
        <v>40</v>
      </c>
      <c r="E162" s="1" t="s">
        <v>130</v>
      </c>
      <c r="F162" s="1" t="s">
        <v>39</v>
      </c>
      <c r="G162" s="1">
        <v>4</v>
      </c>
      <c r="H162" s="9">
        <v>13037</v>
      </c>
      <c r="I162" s="8">
        <f t="shared" si="4"/>
        <v>52148</v>
      </c>
      <c r="J162" s="18">
        <v>0.15</v>
      </c>
      <c r="K162" s="8">
        <f t="shared" si="5"/>
        <v>44325.8</v>
      </c>
      <c r="L162" s="14" t="s">
        <v>319</v>
      </c>
      <c r="M162" s="1" t="s">
        <v>20</v>
      </c>
      <c r="N162" s="28" t="s">
        <v>28</v>
      </c>
    </row>
    <row r="163" spans="1:14" x14ac:dyDescent="0.3">
      <c r="A163" s="25" t="s">
        <v>331</v>
      </c>
      <c r="B163" s="1" t="s">
        <v>34</v>
      </c>
      <c r="C163" s="1" t="s">
        <v>16</v>
      </c>
      <c r="D163" s="5">
        <v>20</v>
      </c>
      <c r="E163" s="1" t="s">
        <v>47</v>
      </c>
      <c r="F163" s="1" t="s">
        <v>48</v>
      </c>
      <c r="G163" s="1">
        <v>3</v>
      </c>
      <c r="H163" s="9">
        <v>11699</v>
      </c>
      <c r="I163" s="8">
        <f t="shared" si="4"/>
        <v>35097</v>
      </c>
      <c r="J163" s="18">
        <v>0.2</v>
      </c>
      <c r="K163" s="8">
        <f t="shared" si="5"/>
        <v>28077.599999999999</v>
      </c>
      <c r="L163" s="14" t="s">
        <v>319</v>
      </c>
      <c r="M163" s="1" t="s">
        <v>20</v>
      </c>
      <c r="N163" s="28" t="s">
        <v>40</v>
      </c>
    </row>
    <row r="164" spans="1:14" x14ac:dyDescent="0.3">
      <c r="A164" s="25" t="s">
        <v>332</v>
      </c>
      <c r="B164" s="1" t="s">
        <v>69</v>
      </c>
      <c r="C164" s="1" t="s">
        <v>16</v>
      </c>
      <c r="D164" s="5">
        <v>28</v>
      </c>
      <c r="E164" s="1" t="s">
        <v>42</v>
      </c>
      <c r="F164" s="1" t="s">
        <v>43</v>
      </c>
      <c r="G164" s="1">
        <v>4</v>
      </c>
      <c r="H164" s="9">
        <v>11025</v>
      </c>
      <c r="I164" s="8">
        <f t="shared" si="4"/>
        <v>44100</v>
      </c>
      <c r="J164" s="18">
        <v>0.1</v>
      </c>
      <c r="K164" s="8">
        <f t="shared" si="5"/>
        <v>39690</v>
      </c>
      <c r="L164" s="14" t="s">
        <v>77</v>
      </c>
      <c r="M164" s="1" t="s">
        <v>36</v>
      </c>
      <c r="N164" s="28" t="s">
        <v>21</v>
      </c>
    </row>
    <row r="165" spans="1:14" x14ac:dyDescent="0.3">
      <c r="A165" s="25" t="s">
        <v>333</v>
      </c>
      <c r="B165" s="1" t="s">
        <v>69</v>
      </c>
      <c r="C165" s="1" t="s">
        <v>16</v>
      </c>
      <c r="D165" s="5">
        <v>36</v>
      </c>
      <c r="E165" s="1" t="s">
        <v>42</v>
      </c>
      <c r="F165" s="1" t="s">
        <v>43</v>
      </c>
      <c r="G165" s="1">
        <v>5</v>
      </c>
      <c r="H165" s="9">
        <v>20763</v>
      </c>
      <c r="I165" s="8">
        <f t="shared" si="4"/>
        <v>103815</v>
      </c>
      <c r="J165" s="18">
        <v>0.15</v>
      </c>
      <c r="K165" s="8">
        <f t="shared" si="5"/>
        <v>88242.75</v>
      </c>
      <c r="L165" s="14" t="s">
        <v>334</v>
      </c>
      <c r="M165" s="1" t="s">
        <v>45</v>
      </c>
      <c r="N165" s="28" t="s">
        <v>21</v>
      </c>
    </row>
    <row r="166" spans="1:14" x14ac:dyDescent="0.3">
      <c r="A166" s="25" t="s">
        <v>335</v>
      </c>
      <c r="B166" s="1" t="s">
        <v>66</v>
      </c>
      <c r="C166" s="1" t="s">
        <v>24</v>
      </c>
      <c r="D166" s="5">
        <v>24</v>
      </c>
      <c r="E166" s="1" t="s">
        <v>47</v>
      </c>
      <c r="F166" s="1" t="s">
        <v>48</v>
      </c>
      <c r="G166" s="1">
        <v>1</v>
      </c>
      <c r="H166" s="9">
        <v>17163</v>
      </c>
      <c r="I166" s="8">
        <f t="shared" si="4"/>
        <v>17163</v>
      </c>
      <c r="J166" s="18">
        <v>0</v>
      </c>
      <c r="K166" s="8">
        <f t="shared" si="5"/>
        <v>17163</v>
      </c>
      <c r="L166" s="14" t="s">
        <v>336</v>
      </c>
      <c r="M166" s="1" t="s">
        <v>20</v>
      </c>
      <c r="N166" s="28" t="s">
        <v>21</v>
      </c>
    </row>
    <row r="167" spans="1:14" x14ac:dyDescent="0.3">
      <c r="A167" s="25" t="s">
        <v>337</v>
      </c>
      <c r="B167" s="1" t="s">
        <v>15</v>
      </c>
      <c r="C167" s="1" t="s">
        <v>16</v>
      </c>
      <c r="D167" s="5">
        <v>25</v>
      </c>
      <c r="E167" s="1" t="s">
        <v>25</v>
      </c>
      <c r="F167" s="1" t="s">
        <v>18</v>
      </c>
      <c r="G167" s="1">
        <v>3</v>
      </c>
      <c r="H167" s="9">
        <v>23136</v>
      </c>
      <c r="I167" s="8">
        <f t="shared" si="4"/>
        <v>69408</v>
      </c>
      <c r="J167" s="18">
        <v>0.05</v>
      </c>
      <c r="K167" s="8">
        <f t="shared" si="5"/>
        <v>65937.600000000006</v>
      </c>
      <c r="L167" s="14" t="s">
        <v>338</v>
      </c>
      <c r="M167" s="1" t="s">
        <v>20</v>
      </c>
      <c r="N167" s="28" t="s">
        <v>32</v>
      </c>
    </row>
    <row r="168" spans="1:14" x14ac:dyDescent="0.3">
      <c r="A168" s="25" t="s">
        <v>339</v>
      </c>
      <c r="B168" s="1" t="s">
        <v>76</v>
      </c>
      <c r="C168" s="1" t="s">
        <v>24</v>
      </c>
      <c r="D168" s="5">
        <v>19</v>
      </c>
      <c r="E168" s="1" t="s">
        <v>38</v>
      </c>
      <c r="F168" s="1" t="s">
        <v>39</v>
      </c>
      <c r="G168" s="1">
        <v>2</v>
      </c>
      <c r="H168" s="9">
        <v>20475</v>
      </c>
      <c r="I168" s="8">
        <f t="shared" si="4"/>
        <v>40950</v>
      </c>
      <c r="J168" s="18">
        <v>0.1</v>
      </c>
      <c r="K168" s="8">
        <f t="shared" si="5"/>
        <v>36855</v>
      </c>
      <c r="L168" s="14" t="s">
        <v>340</v>
      </c>
      <c r="M168" s="1" t="s">
        <v>27</v>
      </c>
      <c r="N168" s="28" t="s">
        <v>21</v>
      </c>
    </row>
    <row r="169" spans="1:14" x14ac:dyDescent="0.3">
      <c r="A169" s="25" t="s">
        <v>341</v>
      </c>
      <c r="B169" s="1" t="s">
        <v>34</v>
      </c>
      <c r="C169" s="1" t="s">
        <v>16</v>
      </c>
      <c r="D169" s="5">
        <v>22</v>
      </c>
      <c r="E169" s="1" t="s">
        <v>59</v>
      </c>
      <c r="F169" s="1" t="s">
        <v>48</v>
      </c>
      <c r="G169" s="1">
        <v>1</v>
      </c>
      <c r="H169" s="9">
        <v>10873</v>
      </c>
      <c r="I169" s="8">
        <f t="shared" si="4"/>
        <v>10873</v>
      </c>
      <c r="J169" s="18">
        <v>0.05</v>
      </c>
      <c r="K169" s="8">
        <f t="shared" si="5"/>
        <v>10329.35</v>
      </c>
      <c r="L169" s="14" t="s">
        <v>342</v>
      </c>
      <c r="M169" s="1" t="s">
        <v>45</v>
      </c>
      <c r="N169" s="28" t="s">
        <v>40</v>
      </c>
    </row>
    <row r="170" spans="1:14" x14ac:dyDescent="0.3">
      <c r="A170" s="25" t="s">
        <v>343</v>
      </c>
      <c r="B170" s="1" t="s">
        <v>69</v>
      </c>
      <c r="C170" s="1" t="s">
        <v>16</v>
      </c>
      <c r="D170" s="5">
        <v>43</v>
      </c>
      <c r="E170" s="1" t="s">
        <v>130</v>
      </c>
      <c r="F170" s="1" t="s">
        <v>39</v>
      </c>
      <c r="G170" s="1">
        <v>2</v>
      </c>
      <c r="H170" s="9">
        <v>28123</v>
      </c>
      <c r="I170" s="8">
        <f t="shared" si="4"/>
        <v>56246</v>
      </c>
      <c r="J170" s="18">
        <v>0</v>
      </c>
      <c r="K170" s="8">
        <f t="shared" si="5"/>
        <v>56246</v>
      </c>
      <c r="L170" s="14" t="s">
        <v>240</v>
      </c>
      <c r="M170" s="1" t="s">
        <v>20</v>
      </c>
      <c r="N170" s="28" t="s">
        <v>28</v>
      </c>
    </row>
    <row r="171" spans="1:14" x14ac:dyDescent="0.3">
      <c r="A171" s="25" t="s">
        <v>344</v>
      </c>
      <c r="B171" s="1" t="s">
        <v>54</v>
      </c>
      <c r="C171" s="1" t="s">
        <v>24</v>
      </c>
      <c r="D171" s="5">
        <v>60</v>
      </c>
      <c r="E171" s="1" t="s">
        <v>38</v>
      </c>
      <c r="F171" s="1" t="s">
        <v>39</v>
      </c>
      <c r="G171" s="1">
        <v>5</v>
      </c>
      <c r="H171" s="9">
        <v>3819</v>
      </c>
      <c r="I171" s="8">
        <f t="shared" si="4"/>
        <v>19095</v>
      </c>
      <c r="J171" s="18">
        <v>0.15</v>
      </c>
      <c r="K171" s="8">
        <f t="shared" si="5"/>
        <v>16230.75</v>
      </c>
      <c r="L171" s="14" t="s">
        <v>345</v>
      </c>
      <c r="M171" s="1" t="s">
        <v>36</v>
      </c>
      <c r="N171" s="28" t="s">
        <v>28</v>
      </c>
    </row>
    <row r="172" spans="1:14" x14ac:dyDescent="0.3">
      <c r="A172" s="25" t="s">
        <v>346</v>
      </c>
      <c r="B172" s="1" t="s">
        <v>34</v>
      </c>
      <c r="C172" s="1" t="s">
        <v>16</v>
      </c>
      <c r="D172" s="5">
        <v>39</v>
      </c>
      <c r="E172" s="1" t="s">
        <v>130</v>
      </c>
      <c r="F172" s="1" t="s">
        <v>39</v>
      </c>
      <c r="G172" s="1">
        <v>1</v>
      </c>
      <c r="H172" s="9">
        <v>26144</v>
      </c>
      <c r="I172" s="8">
        <f t="shared" si="4"/>
        <v>26144</v>
      </c>
      <c r="J172" s="18">
        <v>0.1</v>
      </c>
      <c r="K172" s="8">
        <f t="shared" si="5"/>
        <v>23529.599999999999</v>
      </c>
      <c r="L172" s="14" t="s">
        <v>82</v>
      </c>
      <c r="M172" s="1" t="s">
        <v>27</v>
      </c>
      <c r="N172" s="28" t="s">
        <v>21</v>
      </c>
    </row>
    <row r="173" spans="1:14" x14ac:dyDescent="0.3">
      <c r="A173" s="25" t="s">
        <v>347</v>
      </c>
      <c r="B173" s="1" t="s">
        <v>34</v>
      </c>
      <c r="C173" s="1" t="s">
        <v>16</v>
      </c>
      <c r="D173" s="5">
        <v>23</v>
      </c>
      <c r="E173" s="1" t="s">
        <v>59</v>
      </c>
      <c r="F173" s="1" t="s">
        <v>48</v>
      </c>
      <c r="G173" s="1">
        <v>1</v>
      </c>
      <c r="H173" s="9">
        <v>19462</v>
      </c>
      <c r="I173" s="8">
        <f t="shared" si="4"/>
        <v>19462</v>
      </c>
      <c r="J173" s="18">
        <v>0.15</v>
      </c>
      <c r="K173" s="8">
        <f t="shared" si="5"/>
        <v>16542.7</v>
      </c>
      <c r="L173" s="14" t="s">
        <v>348</v>
      </c>
      <c r="M173" s="1" t="s">
        <v>20</v>
      </c>
      <c r="N173" s="28" t="s">
        <v>21</v>
      </c>
    </row>
    <row r="174" spans="1:14" x14ac:dyDescent="0.3">
      <c r="A174" s="25" t="s">
        <v>349</v>
      </c>
      <c r="B174" s="1" t="s">
        <v>66</v>
      </c>
      <c r="C174" s="1" t="s">
        <v>24</v>
      </c>
      <c r="D174" s="5">
        <v>44</v>
      </c>
      <c r="E174" s="1" t="s">
        <v>59</v>
      </c>
      <c r="F174" s="1" t="s">
        <v>48</v>
      </c>
      <c r="G174" s="1">
        <v>5</v>
      </c>
      <c r="H174" s="9">
        <v>27824</v>
      </c>
      <c r="I174" s="8">
        <f t="shared" si="4"/>
        <v>139120</v>
      </c>
      <c r="J174" s="18">
        <v>0.05</v>
      </c>
      <c r="K174" s="8">
        <f t="shared" si="5"/>
        <v>132164</v>
      </c>
      <c r="L174" s="14" t="s">
        <v>350</v>
      </c>
      <c r="M174" s="1" t="s">
        <v>36</v>
      </c>
      <c r="N174" s="28" t="s">
        <v>32</v>
      </c>
    </row>
    <row r="175" spans="1:14" x14ac:dyDescent="0.3">
      <c r="A175" s="25" t="s">
        <v>351</v>
      </c>
      <c r="B175" s="1" t="s">
        <v>93</v>
      </c>
      <c r="C175" s="1" t="s">
        <v>16</v>
      </c>
      <c r="D175" s="5">
        <v>28</v>
      </c>
      <c r="E175" s="1" t="s">
        <v>47</v>
      </c>
      <c r="F175" s="1" t="s">
        <v>48</v>
      </c>
      <c r="G175" s="1">
        <v>5</v>
      </c>
      <c r="H175" s="9">
        <v>19422</v>
      </c>
      <c r="I175" s="8">
        <f t="shared" si="4"/>
        <v>97110</v>
      </c>
      <c r="J175" s="18">
        <v>0</v>
      </c>
      <c r="K175" s="8">
        <f t="shared" si="5"/>
        <v>97110</v>
      </c>
      <c r="L175" s="14" t="s">
        <v>352</v>
      </c>
      <c r="M175" s="1" t="s">
        <v>20</v>
      </c>
      <c r="N175" s="28" t="s">
        <v>21</v>
      </c>
    </row>
    <row r="176" spans="1:14" x14ac:dyDescent="0.3">
      <c r="A176" s="25" t="s">
        <v>353</v>
      </c>
      <c r="B176" s="1" t="s">
        <v>93</v>
      </c>
      <c r="C176" s="1" t="s">
        <v>16</v>
      </c>
      <c r="D176" s="5">
        <v>37</v>
      </c>
      <c r="E176" s="1" t="s">
        <v>130</v>
      </c>
      <c r="F176" s="1" t="s">
        <v>39</v>
      </c>
      <c r="G176" s="1">
        <v>5</v>
      </c>
      <c r="H176" s="9">
        <v>18155</v>
      </c>
      <c r="I176" s="8">
        <f t="shared" si="4"/>
        <v>90775</v>
      </c>
      <c r="J176" s="18">
        <v>0.2</v>
      </c>
      <c r="K176" s="8">
        <f t="shared" si="5"/>
        <v>72620</v>
      </c>
      <c r="L176" s="14" t="s">
        <v>26</v>
      </c>
      <c r="M176" s="1" t="s">
        <v>27</v>
      </c>
      <c r="N176" s="28" t="s">
        <v>40</v>
      </c>
    </row>
    <row r="177" spans="1:14" x14ac:dyDescent="0.3">
      <c r="A177" s="25" t="s">
        <v>354</v>
      </c>
      <c r="B177" s="1" t="s">
        <v>76</v>
      </c>
      <c r="C177" s="1" t="s">
        <v>24</v>
      </c>
      <c r="D177" s="5">
        <v>43</v>
      </c>
      <c r="E177" s="1" t="s">
        <v>17</v>
      </c>
      <c r="F177" s="1" t="s">
        <v>18</v>
      </c>
      <c r="G177" s="1">
        <v>2</v>
      </c>
      <c r="H177" s="9">
        <v>21961</v>
      </c>
      <c r="I177" s="8">
        <f t="shared" si="4"/>
        <v>43922</v>
      </c>
      <c r="J177" s="18">
        <v>0</v>
      </c>
      <c r="K177" s="8">
        <f t="shared" si="5"/>
        <v>43922</v>
      </c>
      <c r="L177" s="14" t="s">
        <v>355</v>
      </c>
      <c r="M177" s="1" t="s">
        <v>20</v>
      </c>
      <c r="N177" s="28" t="s">
        <v>21</v>
      </c>
    </row>
    <row r="178" spans="1:14" x14ac:dyDescent="0.3">
      <c r="A178" s="25" t="s">
        <v>356</v>
      </c>
      <c r="B178" s="1" t="s">
        <v>81</v>
      </c>
      <c r="C178" s="1" t="s">
        <v>24</v>
      </c>
      <c r="D178" s="5">
        <v>21</v>
      </c>
      <c r="E178" s="1" t="s">
        <v>42</v>
      </c>
      <c r="F178" s="1" t="s">
        <v>43</v>
      </c>
      <c r="G178" s="1">
        <v>3</v>
      </c>
      <c r="H178" s="9">
        <v>12369</v>
      </c>
      <c r="I178" s="8">
        <f t="shared" si="4"/>
        <v>37107</v>
      </c>
      <c r="J178" s="18">
        <v>0.1</v>
      </c>
      <c r="K178" s="8">
        <f t="shared" si="5"/>
        <v>33396.300000000003</v>
      </c>
      <c r="L178" s="14" t="s">
        <v>289</v>
      </c>
      <c r="M178" s="1" t="s">
        <v>27</v>
      </c>
      <c r="N178" s="28" t="s">
        <v>32</v>
      </c>
    </row>
    <row r="179" spans="1:14" x14ac:dyDescent="0.3">
      <c r="A179" s="25" t="s">
        <v>357</v>
      </c>
      <c r="B179" s="1" t="s">
        <v>15</v>
      </c>
      <c r="C179" s="1" t="s">
        <v>16</v>
      </c>
      <c r="D179" s="5">
        <v>50</v>
      </c>
      <c r="E179" s="1" t="s">
        <v>47</v>
      </c>
      <c r="F179" s="1" t="s">
        <v>48</v>
      </c>
      <c r="G179" s="1">
        <v>5</v>
      </c>
      <c r="H179" s="9">
        <v>17584</v>
      </c>
      <c r="I179" s="8">
        <f t="shared" si="4"/>
        <v>87920</v>
      </c>
      <c r="J179" s="18">
        <v>0.05</v>
      </c>
      <c r="K179" s="8">
        <f t="shared" si="5"/>
        <v>83524</v>
      </c>
      <c r="L179" s="14" t="s">
        <v>358</v>
      </c>
      <c r="M179" s="1" t="s">
        <v>36</v>
      </c>
      <c r="N179" s="28" t="s">
        <v>32</v>
      </c>
    </row>
    <row r="180" spans="1:14" x14ac:dyDescent="0.3">
      <c r="A180" s="25" t="s">
        <v>359</v>
      </c>
      <c r="B180" s="1" t="s">
        <v>69</v>
      </c>
      <c r="C180" s="1" t="s">
        <v>16</v>
      </c>
      <c r="D180" s="5">
        <v>38</v>
      </c>
      <c r="E180" s="1" t="s">
        <v>59</v>
      </c>
      <c r="F180" s="1" t="s">
        <v>48</v>
      </c>
      <c r="G180" s="1">
        <v>5</v>
      </c>
      <c r="H180" s="9">
        <v>21053</v>
      </c>
      <c r="I180" s="8">
        <f t="shared" si="4"/>
        <v>105265</v>
      </c>
      <c r="J180" s="18">
        <v>0.05</v>
      </c>
      <c r="K180" s="8">
        <f t="shared" si="5"/>
        <v>100001.75</v>
      </c>
      <c r="L180" s="14" t="s">
        <v>360</v>
      </c>
      <c r="M180" s="1" t="s">
        <v>20</v>
      </c>
      <c r="N180" s="28" t="s">
        <v>40</v>
      </c>
    </row>
    <row r="181" spans="1:14" x14ac:dyDescent="0.3">
      <c r="A181" s="25" t="s">
        <v>361</v>
      </c>
      <c r="B181" s="1" t="s">
        <v>51</v>
      </c>
      <c r="C181" s="1" t="s">
        <v>16</v>
      </c>
      <c r="D181" s="5">
        <v>22</v>
      </c>
      <c r="E181" s="1" t="s">
        <v>25</v>
      </c>
      <c r="F181" s="1" t="s">
        <v>18</v>
      </c>
      <c r="G181" s="1">
        <v>2</v>
      </c>
      <c r="H181" s="9">
        <v>29792</v>
      </c>
      <c r="I181" s="8">
        <f t="shared" si="4"/>
        <v>59584</v>
      </c>
      <c r="J181" s="18">
        <v>0.05</v>
      </c>
      <c r="K181" s="8">
        <f t="shared" si="5"/>
        <v>56604.800000000003</v>
      </c>
      <c r="L181" s="14" t="s">
        <v>295</v>
      </c>
      <c r="M181" s="1" t="s">
        <v>20</v>
      </c>
      <c r="N181" s="28" t="s">
        <v>40</v>
      </c>
    </row>
    <row r="182" spans="1:14" x14ac:dyDescent="0.3">
      <c r="A182" s="25" t="s">
        <v>362</v>
      </c>
      <c r="B182" s="1" t="s">
        <v>76</v>
      </c>
      <c r="C182" s="1" t="s">
        <v>24</v>
      </c>
      <c r="D182" s="5">
        <v>35</v>
      </c>
      <c r="E182" s="1" t="s">
        <v>130</v>
      </c>
      <c r="F182" s="1" t="s">
        <v>39</v>
      </c>
      <c r="G182" s="1">
        <v>1</v>
      </c>
      <c r="H182" s="9">
        <v>968</v>
      </c>
      <c r="I182" s="8">
        <f t="shared" si="4"/>
        <v>968</v>
      </c>
      <c r="J182" s="18">
        <v>0.05</v>
      </c>
      <c r="K182" s="8">
        <f t="shared" si="5"/>
        <v>919.6</v>
      </c>
      <c r="L182" s="14" t="s">
        <v>118</v>
      </c>
      <c r="M182" s="1" t="s">
        <v>27</v>
      </c>
      <c r="N182" s="28" t="s">
        <v>32</v>
      </c>
    </row>
    <row r="183" spans="1:14" x14ac:dyDescent="0.3">
      <c r="A183" s="25" t="s">
        <v>363</v>
      </c>
      <c r="B183" s="1" t="s">
        <v>34</v>
      </c>
      <c r="C183" s="1" t="s">
        <v>16</v>
      </c>
      <c r="D183" s="5">
        <v>58</v>
      </c>
      <c r="E183" s="1" t="s">
        <v>59</v>
      </c>
      <c r="F183" s="1" t="s">
        <v>48</v>
      </c>
      <c r="G183" s="1">
        <v>4</v>
      </c>
      <c r="H183" s="9">
        <v>7554</v>
      </c>
      <c r="I183" s="8">
        <f t="shared" si="4"/>
        <v>30216</v>
      </c>
      <c r="J183" s="18">
        <v>0.1</v>
      </c>
      <c r="K183" s="8">
        <f t="shared" si="5"/>
        <v>27194.400000000001</v>
      </c>
      <c r="L183" s="14" t="s">
        <v>278</v>
      </c>
      <c r="M183" s="1" t="s">
        <v>20</v>
      </c>
      <c r="N183" s="28" t="s">
        <v>32</v>
      </c>
    </row>
    <row r="184" spans="1:14" x14ac:dyDescent="0.3">
      <c r="A184" s="25" t="s">
        <v>364</v>
      </c>
      <c r="B184" s="1" t="s">
        <v>34</v>
      </c>
      <c r="C184" s="1" t="s">
        <v>16</v>
      </c>
      <c r="D184" s="5">
        <v>27</v>
      </c>
      <c r="E184" s="1" t="s">
        <v>25</v>
      </c>
      <c r="F184" s="1" t="s">
        <v>18</v>
      </c>
      <c r="G184" s="1">
        <v>5</v>
      </c>
      <c r="H184" s="9">
        <v>8566</v>
      </c>
      <c r="I184" s="8">
        <f t="shared" si="4"/>
        <v>42830</v>
      </c>
      <c r="J184" s="18">
        <v>0.2</v>
      </c>
      <c r="K184" s="8">
        <f t="shared" si="5"/>
        <v>34264</v>
      </c>
      <c r="L184" s="14" t="s">
        <v>365</v>
      </c>
      <c r="M184" s="1" t="s">
        <v>36</v>
      </c>
      <c r="N184" s="28" t="s">
        <v>21</v>
      </c>
    </row>
    <row r="185" spans="1:14" x14ac:dyDescent="0.3">
      <c r="A185" s="25" t="s">
        <v>366</v>
      </c>
      <c r="B185" s="1" t="s">
        <v>15</v>
      </c>
      <c r="C185" s="1" t="s">
        <v>16</v>
      </c>
      <c r="D185" s="5">
        <v>57</v>
      </c>
      <c r="E185" s="1" t="s">
        <v>130</v>
      </c>
      <c r="F185" s="1" t="s">
        <v>39</v>
      </c>
      <c r="G185" s="1">
        <v>5</v>
      </c>
      <c r="H185" s="9">
        <v>25699</v>
      </c>
      <c r="I185" s="8">
        <f t="shared" si="4"/>
        <v>128495</v>
      </c>
      <c r="J185" s="18">
        <v>0.05</v>
      </c>
      <c r="K185" s="8">
        <f t="shared" si="5"/>
        <v>122070.25</v>
      </c>
      <c r="L185" s="14" t="s">
        <v>367</v>
      </c>
      <c r="M185" s="1" t="s">
        <v>27</v>
      </c>
      <c r="N185" s="28" t="s">
        <v>32</v>
      </c>
    </row>
    <row r="186" spans="1:14" x14ac:dyDescent="0.3">
      <c r="A186" s="25" t="s">
        <v>368</v>
      </c>
      <c r="B186" s="1" t="s">
        <v>15</v>
      </c>
      <c r="C186" s="1" t="s">
        <v>16</v>
      </c>
      <c r="D186" s="5">
        <v>48</v>
      </c>
      <c r="E186" s="1" t="s">
        <v>59</v>
      </c>
      <c r="F186" s="1" t="s">
        <v>48</v>
      </c>
      <c r="G186" s="1">
        <v>3</v>
      </c>
      <c r="H186" s="9">
        <v>9254</v>
      </c>
      <c r="I186" s="8">
        <f t="shared" si="4"/>
        <v>27762</v>
      </c>
      <c r="J186" s="18">
        <v>0.2</v>
      </c>
      <c r="K186" s="8">
        <f t="shared" si="5"/>
        <v>22209.599999999999</v>
      </c>
      <c r="L186" s="14" t="s">
        <v>369</v>
      </c>
      <c r="M186" s="1" t="s">
        <v>36</v>
      </c>
      <c r="N186" s="28" t="s">
        <v>28</v>
      </c>
    </row>
    <row r="187" spans="1:14" x14ac:dyDescent="0.3">
      <c r="A187" s="25" t="s">
        <v>370</v>
      </c>
      <c r="B187" s="1" t="s">
        <v>76</v>
      </c>
      <c r="C187" s="1" t="s">
        <v>24</v>
      </c>
      <c r="D187" s="5">
        <v>24</v>
      </c>
      <c r="E187" s="1" t="s">
        <v>17</v>
      </c>
      <c r="F187" s="1" t="s">
        <v>18</v>
      </c>
      <c r="G187" s="1">
        <v>3</v>
      </c>
      <c r="H187" s="9">
        <v>3674</v>
      </c>
      <c r="I187" s="8">
        <f t="shared" si="4"/>
        <v>11022</v>
      </c>
      <c r="J187" s="18">
        <v>0.2</v>
      </c>
      <c r="K187" s="8">
        <f t="shared" si="5"/>
        <v>8817.6</v>
      </c>
      <c r="L187" s="14" t="s">
        <v>371</v>
      </c>
      <c r="M187" s="1" t="s">
        <v>36</v>
      </c>
      <c r="N187" s="28" t="s">
        <v>21</v>
      </c>
    </row>
    <row r="188" spans="1:14" x14ac:dyDescent="0.3">
      <c r="A188" s="25" t="s">
        <v>372</v>
      </c>
      <c r="B188" s="1" t="s">
        <v>54</v>
      </c>
      <c r="C188" s="1" t="s">
        <v>24</v>
      </c>
      <c r="D188" s="5">
        <v>30</v>
      </c>
      <c r="E188" s="1" t="s">
        <v>42</v>
      </c>
      <c r="F188" s="1" t="s">
        <v>43</v>
      </c>
      <c r="G188" s="1">
        <v>2</v>
      </c>
      <c r="H188" s="9">
        <v>9180</v>
      </c>
      <c r="I188" s="8">
        <f t="shared" si="4"/>
        <v>18360</v>
      </c>
      <c r="J188" s="18">
        <v>0.05</v>
      </c>
      <c r="K188" s="8">
        <f t="shared" si="5"/>
        <v>17442</v>
      </c>
      <c r="L188" s="14" t="s">
        <v>107</v>
      </c>
      <c r="M188" s="1" t="s">
        <v>20</v>
      </c>
      <c r="N188" s="28" t="s">
        <v>28</v>
      </c>
    </row>
    <row r="189" spans="1:14" x14ac:dyDescent="0.3">
      <c r="A189" s="25" t="s">
        <v>373</v>
      </c>
      <c r="B189" s="1" t="s">
        <v>51</v>
      </c>
      <c r="C189" s="1" t="s">
        <v>16</v>
      </c>
      <c r="D189" s="5">
        <v>55</v>
      </c>
      <c r="E189" s="1" t="s">
        <v>42</v>
      </c>
      <c r="F189" s="1" t="s">
        <v>43</v>
      </c>
      <c r="G189" s="1">
        <v>1</v>
      </c>
      <c r="H189" s="9">
        <v>15763</v>
      </c>
      <c r="I189" s="8">
        <f t="shared" si="4"/>
        <v>15763</v>
      </c>
      <c r="J189" s="18">
        <v>0.05</v>
      </c>
      <c r="K189" s="8">
        <f t="shared" si="5"/>
        <v>14974.85</v>
      </c>
      <c r="L189" s="14" t="s">
        <v>374</v>
      </c>
      <c r="M189" s="1" t="s">
        <v>27</v>
      </c>
      <c r="N189" s="28" t="s">
        <v>32</v>
      </c>
    </row>
    <row r="190" spans="1:14" x14ac:dyDescent="0.3">
      <c r="A190" s="25" t="s">
        <v>375</v>
      </c>
      <c r="B190" s="1" t="s">
        <v>69</v>
      </c>
      <c r="C190" s="1" t="s">
        <v>16</v>
      </c>
      <c r="D190" s="5">
        <v>52</v>
      </c>
      <c r="E190" s="1" t="s">
        <v>25</v>
      </c>
      <c r="F190" s="1" t="s">
        <v>18</v>
      </c>
      <c r="G190" s="1">
        <v>5</v>
      </c>
      <c r="H190" s="9">
        <v>24412</v>
      </c>
      <c r="I190" s="8">
        <f t="shared" si="4"/>
        <v>122060</v>
      </c>
      <c r="J190" s="18">
        <v>0.05</v>
      </c>
      <c r="K190" s="8">
        <f t="shared" si="5"/>
        <v>115957</v>
      </c>
      <c r="L190" s="14" t="s">
        <v>271</v>
      </c>
      <c r="M190" s="1" t="s">
        <v>45</v>
      </c>
      <c r="N190" s="28" t="s">
        <v>32</v>
      </c>
    </row>
    <row r="191" spans="1:14" x14ac:dyDescent="0.3">
      <c r="A191" s="25" t="s">
        <v>376</v>
      </c>
      <c r="B191" s="1" t="s">
        <v>76</v>
      </c>
      <c r="C191" s="1" t="s">
        <v>24</v>
      </c>
      <c r="D191" s="5">
        <v>24</v>
      </c>
      <c r="E191" s="1" t="s">
        <v>47</v>
      </c>
      <c r="F191" s="1" t="s">
        <v>48</v>
      </c>
      <c r="G191" s="1">
        <v>4</v>
      </c>
      <c r="H191" s="9">
        <v>11037</v>
      </c>
      <c r="I191" s="8">
        <f t="shared" si="4"/>
        <v>44148</v>
      </c>
      <c r="J191" s="18">
        <v>0.1</v>
      </c>
      <c r="K191" s="8">
        <f t="shared" si="5"/>
        <v>39733.199999999997</v>
      </c>
      <c r="L191" s="14" t="s">
        <v>377</v>
      </c>
      <c r="M191" s="1" t="s">
        <v>20</v>
      </c>
      <c r="N191" s="28" t="s">
        <v>28</v>
      </c>
    </row>
    <row r="192" spans="1:14" x14ac:dyDescent="0.3">
      <c r="A192" s="25" t="s">
        <v>378</v>
      </c>
      <c r="B192" s="1" t="s">
        <v>15</v>
      </c>
      <c r="C192" s="1" t="s">
        <v>16</v>
      </c>
      <c r="D192" s="5">
        <v>22</v>
      </c>
      <c r="E192" s="1" t="s">
        <v>130</v>
      </c>
      <c r="F192" s="1" t="s">
        <v>39</v>
      </c>
      <c r="G192" s="1">
        <v>5</v>
      </c>
      <c r="H192" s="9">
        <v>9010</v>
      </c>
      <c r="I192" s="8">
        <f t="shared" si="4"/>
        <v>45050</v>
      </c>
      <c r="J192" s="18">
        <v>0.1</v>
      </c>
      <c r="K192" s="8">
        <f t="shared" si="5"/>
        <v>40545</v>
      </c>
      <c r="L192" s="14" t="s">
        <v>379</v>
      </c>
      <c r="M192" s="1" t="s">
        <v>45</v>
      </c>
      <c r="N192" s="28" t="s">
        <v>28</v>
      </c>
    </row>
    <row r="193" spans="1:14" x14ac:dyDescent="0.3">
      <c r="A193" s="25" t="s">
        <v>380</v>
      </c>
      <c r="B193" s="1" t="s">
        <v>69</v>
      </c>
      <c r="C193" s="1" t="s">
        <v>16</v>
      </c>
      <c r="D193" s="5">
        <v>51</v>
      </c>
      <c r="E193" s="1" t="s">
        <v>25</v>
      </c>
      <c r="F193" s="1" t="s">
        <v>18</v>
      </c>
      <c r="G193" s="1">
        <v>3</v>
      </c>
      <c r="H193" s="9">
        <v>7664</v>
      </c>
      <c r="I193" s="8">
        <f t="shared" si="4"/>
        <v>22992</v>
      </c>
      <c r="J193" s="18">
        <v>0.1</v>
      </c>
      <c r="K193" s="8">
        <f t="shared" si="5"/>
        <v>20692.8</v>
      </c>
      <c r="L193" s="14" t="s">
        <v>381</v>
      </c>
      <c r="M193" s="1" t="s">
        <v>27</v>
      </c>
      <c r="N193" s="28" t="s">
        <v>28</v>
      </c>
    </row>
    <row r="194" spans="1:14" x14ac:dyDescent="0.3">
      <c r="A194" s="25" t="s">
        <v>382</v>
      </c>
      <c r="B194" s="1" t="s">
        <v>76</v>
      </c>
      <c r="C194" s="1" t="s">
        <v>24</v>
      </c>
      <c r="D194" s="5">
        <v>54</v>
      </c>
      <c r="E194" s="1" t="s">
        <v>30</v>
      </c>
      <c r="F194" s="1" t="s">
        <v>18</v>
      </c>
      <c r="G194" s="1">
        <v>4</v>
      </c>
      <c r="H194" s="9">
        <v>10861</v>
      </c>
      <c r="I194" s="8">
        <f t="shared" si="4"/>
        <v>43444</v>
      </c>
      <c r="J194" s="18">
        <v>0.15</v>
      </c>
      <c r="K194" s="8">
        <f t="shared" si="5"/>
        <v>36927.4</v>
      </c>
      <c r="L194" s="14" t="s">
        <v>250</v>
      </c>
      <c r="M194" s="1" t="s">
        <v>36</v>
      </c>
      <c r="N194" s="28" t="s">
        <v>32</v>
      </c>
    </row>
    <row r="195" spans="1:14" x14ac:dyDescent="0.3">
      <c r="A195" s="25" t="s">
        <v>383</v>
      </c>
      <c r="B195" s="1" t="s">
        <v>34</v>
      </c>
      <c r="C195" s="1" t="s">
        <v>16</v>
      </c>
      <c r="D195" s="5">
        <v>46</v>
      </c>
      <c r="E195" s="1" t="s">
        <v>30</v>
      </c>
      <c r="F195" s="1" t="s">
        <v>18</v>
      </c>
      <c r="G195" s="1">
        <v>1</v>
      </c>
      <c r="H195" s="9">
        <v>26917</v>
      </c>
      <c r="I195" s="8">
        <f t="shared" ref="I195:I201" si="6">G195*H195</f>
        <v>26917</v>
      </c>
      <c r="J195" s="18">
        <v>0.15</v>
      </c>
      <c r="K195" s="8">
        <f t="shared" ref="K195:K201" si="7">I195-(I195*J195)</f>
        <v>22879.45</v>
      </c>
      <c r="L195" s="14" t="s">
        <v>384</v>
      </c>
      <c r="M195" s="1" t="s">
        <v>36</v>
      </c>
      <c r="N195" s="28" t="s">
        <v>40</v>
      </c>
    </row>
    <row r="196" spans="1:14" x14ac:dyDescent="0.3">
      <c r="A196" s="25" t="s">
        <v>385</v>
      </c>
      <c r="B196" s="1" t="s">
        <v>51</v>
      </c>
      <c r="C196" s="1" t="s">
        <v>16</v>
      </c>
      <c r="D196" s="5">
        <v>25</v>
      </c>
      <c r="E196" s="1" t="s">
        <v>130</v>
      </c>
      <c r="F196" s="1" t="s">
        <v>39</v>
      </c>
      <c r="G196" s="1">
        <v>4</v>
      </c>
      <c r="H196" s="9">
        <v>26256</v>
      </c>
      <c r="I196" s="8">
        <f t="shared" si="6"/>
        <v>105024</v>
      </c>
      <c r="J196" s="18">
        <v>0</v>
      </c>
      <c r="K196" s="8">
        <f t="shared" si="7"/>
        <v>105024</v>
      </c>
      <c r="L196" s="14" t="s">
        <v>386</v>
      </c>
      <c r="M196" s="1" t="s">
        <v>45</v>
      </c>
      <c r="N196" s="28" t="s">
        <v>40</v>
      </c>
    </row>
    <row r="197" spans="1:14" x14ac:dyDescent="0.3">
      <c r="A197" s="25" t="s">
        <v>387</v>
      </c>
      <c r="B197" s="1" t="s">
        <v>23</v>
      </c>
      <c r="C197" s="1" t="s">
        <v>24</v>
      </c>
      <c r="D197" s="5">
        <v>42</v>
      </c>
      <c r="E197" s="1" t="s">
        <v>17</v>
      </c>
      <c r="F197" s="1" t="s">
        <v>18</v>
      </c>
      <c r="G197" s="1">
        <v>2</v>
      </c>
      <c r="H197" s="9">
        <v>4989</v>
      </c>
      <c r="I197" s="8">
        <f t="shared" si="6"/>
        <v>9978</v>
      </c>
      <c r="J197" s="18">
        <v>0.2</v>
      </c>
      <c r="K197" s="8">
        <f t="shared" si="7"/>
        <v>7982.4</v>
      </c>
      <c r="L197" s="14" t="s">
        <v>140</v>
      </c>
      <c r="M197" s="1" t="s">
        <v>20</v>
      </c>
      <c r="N197" s="28" t="s">
        <v>32</v>
      </c>
    </row>
    <row r="198" spans="1:14" x14ac:dyDescent="0.3">
      <c r="A198" s="25" t="s">
        <v>388</v>
      </c>
      <c r="B198" s="1" t="s">
        <v>81</v>
      </c>
      <c r="C198" s="1" t="s">
        <v>24</v>
      </c>
      <c r="D198" s="5">
        <v>43</v>
      </c>
      <c r="E198" s="1" t="s">
        <v>47</v>
      </c>
      <c r="F198" s="1" t="s">
        <v>48</v>
      </c>
      <c r="G198" s="1">
        <v>4</v>
      </c>
      <c r="H198" s="9">
        <v>1675</v>
      </c>
      <c r="I198" s="8">
        <f t="shared" si="6"/>
        <v>6700</v>
      </c>
      <c r="J198" s="18">
        <v>0.2</v>
      </c>
      <c r="K198" s="8">
        <f t="shared" si="7"/>
        <v>5360</v>
      </c>
      <c r="L198" s="14" t="s">
        <v>389</v>
      </c>
      <c r="M198" s="1" t="s">
        <v>27</v>
      </c>
      <c r="N198" s="28" t="s">
        <v>32</v>
      </c>
    </row>
    <row r="199" spans="1:14" x14ac:dyDescent="0.3">
      <c r="A199" s="25" t="s">
        <v>390</v>
      </c>
      <c r="B199" s="1" t="s">
        <v>81</v>
      </c>
      <c r="C199" s="1" t="s">
        <v>24</v>
      </c>
      <c r="D199" s="5">
        <v>57</v>
      </c>
      <c r="E199" s="1" t="s">
        <v>17</v>
      </c>
      <c r="F199" s="1" t="s">
        <v>18</v>
      </c>
      <c r="G199" s="1">
        <v>3</v>
      </c>
      <c r="H199" s="9">
        <v>29287</v>
      </c>
      <c r="I199" s="8">
        <f t="shared" si="6"/>
        <v>87861</v>
      </c>
      <c r="J199" s="18">
        <v>0.15</v>
      </c>
      <c r="K199" s="8">
        <f t="shared" si="7"/>
        <v>74681.850000000006</v>
      </c>
      <c r="L199" s="14" t="s">
        <v>154</v>
      </c>
      <c r="M199" s="1" t="s">
        <v>45</v>
      </c>
      <c r="N199" s="28" t="s">
        <v>21</v>
      </c>
    </row>
    <row r="200" spans="1:14" x14ac:dyDescent="0.3">
      <c r="A200" s="25" t="s">
        <v>391</v>
      </c>
      <c r="B200" s="1" t="s">
        <v>51</v>
      </c>
      <c r="C200" s="1" t="s">
        <v>16</v>
      </c>
      <c r="D200" s="5">
        <v>29</v>
      </c>
      <c r="E200" s="1" t="s">
        <v>17</v>
      </c>
      <c r="F200" s="1" t="s">
        <v>18</v>
      </c>
      <c r="G200" s="1">
        <v>5</v>
      </c>
      <c r="H200" s="9">
        <v>4393</v>
      </c>
      <c r="I200" s="8">
        <f t="shared" si="6"/>
        <v>21965</v>
      </c>
      <c r="J200" s="18">
        <v>0.15</v>
      </c>
      <c r="K200" s="8">
        <f t="shared" si="7"/>
        <v>18670.25</v>
      </c>
      <c r="L200" s="14" t="s">
        <v>392</v>
      </c>
      <c r="M200" s="1" t="s">
        <v>45</v>
      </c>
      <c r="N200" s="28" t="s">
        <v>32</v>
      </c>
    </row>
    <row r="201" spans="1:14" ht="15" thickBot="1" x14ac:dyDescent="0.35">
      <c r="A201" s="26" t="s">
        <v>393</v>
      </c>
      <c r="B201" s="3" t="s">
        <v>23</v>
      </c>
      <c r="C201" s="3" t="s">
        <v>24</v>
      </c>
      <c r="D201" s="6">
        <v>26</v>
      </c>
      <c r="E201" s="3" t="s">
        <v>17</v>
      </c>
      <c r="F201" s="3" t="s">
        <v>18</v>
      </c>
      <c r="G201" s="3">
        <v>2</v>
      </c>
      <c r="H201" s="10">
        <v>2153</v>
      </c>
      <c r="I201" s="8">
        <f t="shared" si="6"/>
        <v>4306</v>
      </c>
      <c r="J201" s="19">
        <v>0.1</v>
      </c>
      <c r="K201" s="8">
        <f t="shared" si="7"/>
        <v>3875.4</v>
      </c>
      <c r="L201" s="15" t="s">
        <v>148</v>
      </c>
      <c r="M201" s="3" t="s">
        <v>20</v>
      </c>
      <c r="N201" s="29" t="s">
        <v>40</v>
      </c>
    </row>
  </sheetData>
  <scenarios current="1" sqref="P4">
    <scenario name="Best Price" locked="1" count="1" user="GOPI" comment="Created by GOPI on 26-11-2025">
      <inputCells r="K2" val="14999.5"/>
    </scenario>
    <scenario name="Worst Price" locked="1" count="1" user="GOPI" comment="Created by GOPI on 26-11-2025_x000a_Modified by GOPI on 26-11-2025">
      <inputCells r="K3" val="59999.5"/>
    </scenario>
    <scenario name="Expected Price" locked="1" count="1" user="GOPI" comment="Created by GOPI on 26-11-2025">
      <inputCells r="K4" val="11999.5"/>
    </scenario>
  </scenarios>
  <conditionalFormatting sqref="K1:K1048576">
    <cfRule type="top10" dxfId="47" priority="6" rank="10"/>
    <cfRule type="top10" dxfId="46" priority="7" bottom="1" rank="10"/>
    <cfRule type="iconSet" priority="8">
      <iconSet iconSet="4Arrows">
        <cfvo type="percent" val="0"/>
        <cfvo type="percent" val="25"/>
        <cfvo type="percent" val="50"/>
        <cfvo type="percent" val="75"/>
      </iconSet>
    </cfRule>
    <cfRule type="top10" dxfId="45" priority="11" rank="10"/>
  </conditionalFormatting>
  <conditionalFormatting sqref="I1:I1048576">
    <cfRule type="top10" dxfId="44" priority="9"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5"/>
  <sheetViews>
    <sheetView workbookViewId="0">
      <selection activeCell="E2" sqref="E2:J2"/>
    </sheetView>
  </sheetViews>
  <sheetFormatPr defaultRowHeight="14.4" x14ac:dyDescent="0.3"/>
  <cols>
    <col min="2" max="2" width="11.21875" customWidth="1"/>
    <col min="3" max="3" width="15.44140625" bestFit="1" customWidth="1"/>
    <col min="7" max="7" width="12.6640625" bestFit="1" customWidth="1"/>
    <col min="10" max="10" width="12.109375" bestFit="1" customWidth="1"/>
    <col min="14" max="14" width="8.33203125" bestFit="1" customWidth="1"/>
    <col min="15" max="15" width="13.109375" bestFit="1" customWidth="1"/>
    <col min="16" max="16" width="10.44140625" bestFit="1" customWidth="1"/>
    <col min="17" max="17" width="10" bestFit="1" customWidth="1"/>
    <col min="18" max="18" width="12.109375" bestFit="1" customWidth="1"/>
  </cols>
  <sheetData>
    <row r="1" spans="2:17" ht="15" thickBot="1" x14ac:dyDescent="0.35">
      <c r="M1" s="124" t="s">
        <v>406</v>
      </c>
      <c r="N1" s="124"/>
    </row>
    <row r="2" spans="2:17" ht="14.4" customHeight="1" thickBot="1" x14ac:dyDescent="0.35">
      <c r="B2" s="115" t="s">
        <v>396</v>
      </c>
      <c r="C2" s="116"/>
      <c r="E2" s="159" t="s">
        <v>400</v>
      </c>
      <c r="F2" s="160"/>
      <c r="G2" s="160"/>
      <c r="H2" s="160"/>
      <c r="I2" s="160"/>
      <c r="J2" s="161"/>
      <c r="L2" s="38"/>
      <c r="M2" s="125" t="s">
        <v>29</v>
      </c>
      <c r="N2" s="126">
        <f>IFERROR(VLOOKUP(M2, DataSheet!A:K, 11, FALSE), "Not found")</f>
        <v>20413.599999999999</v>
      </c>
    </row>
    <row r="3" spans="2:17" ht="14.4" customHeight="1" x14ac:dyDescent="0.3">
      <c r="B3" s="149" t="s">
        <v>397</v>
      </c>
      <c r="C3" s="150">
        <f ca="1">NOW()</f>
        <v>45987.563569212965</v>
      </c>
      <c r="E3" s="154" t="s">
        <v>401</v>
      </c>
      <c r="F3" s="155"/>
      <c r="G3" s="155"/>
      <c r="H3" s="155"/>
      <c r="I3" s="155"/>
      <c r="J3" s="156"/>
      <c r="L3" s="37"/>
      <c r="M3" s="37"/>
      <c r="P3" s="127" t="s">
        <v>413</v>
      </c>
      <c r="Q3" s="128"/>
    </row>
    <row r="4" spans="2:17" ht="14.4" customHeight="1" x14ac:dyDescent="0.3">
      <c r="B4" s="149" t="s">
        <v>398</v>
      </c>
      <c r="C4" s="151">
        <f ca="1">TODAY()</f>
        <v>45987</v>
      </c>
      <c r="E4" s="157" t="s">
        <v>402</v>
      </c>
      <c r="F4" s="117"/>
      <c r="G4" s="117"/>
      <c r="H4" s="117"/>
      <c r="I4" s="117"/>
      <c r="J4" s="158"/>
      <c r="M4" s="124" t="s">
        <v>411</v>
      </c>
      <c r="N4" s="124"/>
      <c r="P4" s="131" t="s">
        <v>15</v>
      </c>
      <c r="Q4" s="131">
        <f>SUMIF(DataSheet!B:B, P4, DataSheet!K:K)</f>
        <v>749070.4</v>
      </c>
    </row>
    <row r="5" spans="2:17" ht="15" thickBot="1" x14ac:dyDescent="0.35">
      <c r="B5" s="152" t="s">
        <v>399</v>
      </c>
      <c r="C5" s="153">
        <f>EOMONTH(A1,B1)</f>
        <v>31</v>
      </c>
      <c r="E5" s="118"/>
      <c r="F5" s="119"/>
      <c r="G5" s="119"/>
      <c r="H5" s="119"/>
      <c r="I5" s="119"/>
      <c r="J5" s="120"/>
      <c r="M5" s="126" t="s">
        <v>204</v>
      </c>
      <c r="N5" s="126">
        <f>IFERROR(INDEX(DataSheet!K:K, MATCH(M5, DataSheet!A:A, 0)), "Not found")</f>
        <v>38214</v>
      </c>
    </row>
    <row r="6" spans="2:17" x14ac:dyDescent="0.3">
      <c r="B6" s="44"/>
      <c r="C6" s="44"/>
      <c r="E6" s="118"/>
      <c r="F6" s="119"/>
      <c r="G6" s="119"/>
      <c r="H6" s="119"/>
      <c r="I6" s="119"/>
      <c r="J6" s="120"/>
      <c r="Q6" s="40"/>
    </row>
    <row r="7" spans="2:17" x14ac:dyDescent="0.3">
      <c r="B7" s="44"/>
      <c r="C7" s="44"/>
      <c r="E7" s="118"/>
      <c r="F7" s="119"/>
      <c r="G7" s="119"/>
      <c r="H7" s="119"/>
      <c r="I7" s="119"/>
      <c r="J7" s="120"/>
      <c r="M7" s="124" t="s">
        <v>412</v>
      </c>
      <c r="N7" s="124"/>
      <c r="P7" s="129" t="s">
        <v>414</v>
      </c>
      <c r="Q7" s="129"/>
    </row>
    <row r="8" spans="2:17" x14ac:dyDescent="0.3">
      <c r="E8" s="118"/>
      <c r="F8" s="119"/>
      <c r="G8" s="119"/>
      <c r="H8" s="119"/>
      <c r="I8" s="119"/>
      <c r="J8" s="120"/>
      <c r="M8" s="126" t="s">
        <v>324</v>
      </c>
      <c r="N8" s="126" t="str">
        <f>IF(INDEX(DataSheet!K:K, MATCH(M8, DataSheet!A:A, 0)) &gt; 20000, "High Sale", "Normal Sale")</f>
        <v>High Sale</v>
      </c>
      <c r="P8" s="131" t="s">
        <v>39</v>
      </c>
      <c r="Q8" s="131"/>
    </row>
    <row r="9" spans="2:17" x14ac:dyDescent="0.3">
      <c r="E9" s="118"/>
      <c r="F9" s="119"/>
      <c r="G9" s="119"/>
      <c r="H9" s="119"/>
      <c r="I9" s="119"/>
      <c r="J9" s="120"/>
      <c r="P9" s="131" t="s">
        <v>16</v>
      </c>
      <c r="Q9" s="131">
        <f>SUMIFS(DataSheet!K:K, DataSheet!F:F, P8, DataSheet!C:C, P9)</f>
        <v>1071034.8</v>
      </c>
    </row>
    <row r="10" spans="2:17" x14ac:dyDescent="0.3">
      <c r="E10" s="118"/>
      <c r="F10" s="119"/>
      <c r="G10" s="119"/>
      <c r="H10" s="119"/>
      <c r="I10" s="119"/>
      <c r="J10" s="120"/>
    </row>
    <row r="11" spans="2:17" x14ac:dyDescent="0.3">
      <c r="E11" s="118"/>
      <c r="F11" s="119"/>
      <c r="G11" s="119"/>
      <c r="H11" s="119"/>
      <c r="I11" s="119"/>
      <c r="J11" s="120"/>
    </row>
    <row r="12" spans="2:17" x14ac:dyDescent="0.3">
      <c r="E12" s="118"/>
      <c r="F12" s="119"/>
      <c r="G12" s="119"/>
      <c r="H12" s="119"/>
      <c r="I12" s="119"/>
      <c r="J12" s="120"/>
      <c r="P12" s="129" t="s">
        <v>415</v>
      </c>
      <c r="Q12" s="129"/>
    </row>
    <row r="13" spans="2:17" x14ac:dyDescent="0.3">
      <c r="E13" s="118"/>
      <c r="F13" s="119"/>
      <c r="G13" s="119"/>
      <c r="H13" s="119"/>
      <c r="I13" s="119"/>
      <c r="J13" s="120"/>
      <c r="P13" s="131" t="s">
        <v>43</v>
      </c>
      <c r="Q13" s="131">
        <f>COUNTIF(DataSheet!F:F, P13)</f>
        <v>18</v>
      </c>
    </row>
    <row r="14" spans="2:17" ht="15" thickBot="1" x14ac:dyDescent="0.35">
      <c r="E14" s="121"/>
      <c r="F14" s="122"/>
      <c r="G14" s="122"/>
      <c r="H14" s="122"/>
      <c r="I14" s="122"/>
      <c r="J14" s="123"/>
    </row>
    <row r="16" spans="2:17" x14ac:dyDescent="0.3">
      <c r="P16" s="129" t="s">
        <v>416</v>
      </c>
      <c r="Q16" s="130"/>
    </row>
    <row r="17" spans="2:18" ht="15" thickBot="1" x14ac:dyDescent="0.35">
      <c r="P17" s="39" t="s">
        <v>48</v>
      </c>
      <c r="Q17" s="39"/>
    </row>
    <row r="18" spans="2:18" ht="15" thickBot="1" x14ac:dyDescent="0.35">
      <c r="B18" s="132" t="s">
        <v>417</v>
      </c>
      <c r="C18" s="133"/>
      <c r="D18" s="133"/>
      <c r="E18" s="133"/>
      <c r="F18" s="133"/>
      <c r="G18" s="133"/>
      <c r="H18" s="133"/>
      <c r="I18" s="133"/>
      <c r="J18" s="134"/>
      <c r="P18" s="39" t="s">
        <v>24</v>
      </c>
      <c r="Q18" s="39">
        <f>COUNTIFS(DataSheet!F:F, P17, DataSheet!C:C, P18)</f>
        <v>19</v>
      </c>
    </row>
    <row r="19" spans="2:18" ht="15" thickBot="1" x14ac:dyDescent="0.35">
      <c r="B19" s="135"/>
      <c r="C19" s="136"/>
      <c r="D19" s="136"/>
      <c r="E19" s="136"/>
      <c r="F19" s="136"/>
      <c r="G19" s="136"/>
      <c r="H19" s="136"/>
      <c r="I19" s="136"/>
      <c r="J19" s="137"/>
    </row>
    <row r="20" spans="2:18" x14ac:dyDescent="0.3">
      <c r="B20" s="138" t="s">
        <v>418</v>
      </c>
      <c r="C20" s="139"/>
      <c r="D20" s="136"/>
      <c r="E20" s="136"/>
      <c r="F20" s="136"/>
      <c r="G20" s="136"/>
      <c r="H20" s="136"/>
      <c r="I20" s="136"/>
      <c r="J20" s="137"/>
    </row>
    <row r="21" spans="2:18" ht="15" thickBot="1" x14ac:dyDescent="0.35">
      <c r="B21" s="140" t="s">
        <v>419</v>
      </c>
      <c r="C21" s="141">
        <v>0.56240970005818791</v>
      </c>
      <c r="D21" s="136"/>
      <c r="E21" s="136"/>
      <c r="F21" s="136"/>
      <c r="G21" s="136"/>
      <c r="H21" s="136"/>
      <c r="I21" s="136"/>
      <c r="J21" s="137"/>
    </row>
    <row r="22" spans="2:18" ht="15.6" x14ac:dyDescent="0.3">
      <c r="B22" s="140" t="s">
        <v>420</v>
      </c>
      <c r="C22" s="141">
        <v>0.31630467071954088</v>
      </c>
      <c r="D22" s="136"/>
      <c r="E22" s="136"/>
      <c r="F22" s="136"/>
      <c r="G22" s="136"/>
      <c r="H22" s="136"/>
      <c r="I22" s="136"/>
      <c r="J22" s="137"/>
      <c r="M22" s="56" t="s">
        <v>450</v>
      </c>
      <c r="N22" s="48"/>
      <c r="O22" s="52"/>
      <c r="P22" s="52"/>
      <c r="Q22" s="52"/>
      <c r="R22" s="57"/>
    </row>
    <row r="23" spans="2:18" ht="15.6" x14ac:dyDescent="0.3">
      <c r="B23" s="140" t="s">
        <v>421</v>
      </c>
      <c r="C23" s="141">
        <v>0.31285166400600323</v>
      </c>
      <c r="D23" s="136"/>
      <c r="E23" s="136"/>
      <c r="F23" s="136"/>
      <c r="G23" s="136"/>
      <c r="H23" s="136"/>
      <c r="I23" s="136"/>
      <c r="J23" s="137"/>
      <c r="M23" s="58"/>
      <c r="N23" s="47"/>
      <c r="O23" s="53" t="s">
        <v>452</v>
      </c>
      <c r="P23" s="53" t="s">
        <v>445</v>
      </c>
      <c r="Q23" s="53" t="s">
        <v>447</v>
      </c>
      <c r="R23" s="59" t="s">
        <v>449</v>
      </c>
    </row>
    <row r="24" spans="2:18" ht="61.2" x14ac:dyDescent="0.3">
      <c r="B24" s="140" t="s">
        <v>422</v>
      </c>
      <c r="C24" s="141">
        <v>26941.05409786505</v>
      </c>
      <c r="D24" s="136"/>
      <c r="E24" s="136"/>
      <c r="F24" s="136"/>
      <c r="G24" s="136"/>
      <c r="H24" s="136"/>
      <c r="I24" s="136"/>
      <c r="J24" s="137"/>
      <c r="M24" s="60"/>
      <c r="N24" s="49"/>
      <c r="O24" s="41"/>
      <c r="P24" s="55" t="s">
        <v>446</v>
      </c>
      <c r="Q24" s="55" t="s">
        <v>448</v>
      </c>
      <c r="R24" s="61" t="s">
        <v>446</v>
      </c>
    </row>
    <row r="25" spans="2:18" ht="15" thickBot="1" x14ac:dyDescent="0.35">
      <c r="B25" s="142" t="s">
        <v>423</v>
      </c>
      <c r="C25" s="143">
        <v>200</v>
      </c>
      <c r="D25" s="136"/>
      <c r="E25" s="136"/>
      <c r="F25" s="136"/>
      <c r="G25" s="136"/>
      <c r="H25" s="136"/>
      <c r="I25" s="136"/>
      <c r="J25" s="137"/>
      <c r="M25" s="62" t="s">
        <v>451</v>
      </c>
      <c r="N25" s="50"/>
      <c r="O25" s="43"/>
      <c r="P25" s="43"/>
      <c r="Q25" s="43"/>
      <c r="R25" s="63"/>
    </row>
    <row r="26" spans="2:18" x14ac:dyDescent="0.3">
      <c r="B26" s="135"/>
      <c r="C26" s="136"/>
      <c r="D26" s="136"/>
      <c r="E26" s="136"/>
      <c r="F26" s="136"/>
      <c r="G26" s="136"/>
      <c r="H26" s="136"/>
      <c r="I26" s="136"/>
      <c r="J26" s="137"/>
      <c r="M26" s="60"/>
      <c r="N26" s="49" t="s">
        <v>441</v>
      </c>
      <c r="O26" s="41">
        <v>16001.8</v>
      </c>
      <c r="P26" s="54">
        <v>14999.5</v>
      </c>
      <c r="Q26" s="41">
        <v>16001.8</v>
      </c>
      <c r="R26" s="45">
        <v>16001.8</v>
      </c>
    </row>
    <row r="27" spans="2:18" ht="15" thickBot="1" x14ac:dyDescent="0.35">
      <c r="B27" s="135" t="s">
        <v>424</v>
      </c>
      <c r="C27" s="136"/>
      <c r="D27" s="136"/>
      <c r="E27" s="136"/>
      <c r="F27" s="136"/>
      <c r="G27" s="136"/>
      <c r="H27" s="136"/>
      <c r="I27" s="136"/>
      <c r="J27" s="137"/>
      <c r="M27" s="60"/>
      <c r="N27" s="49" t="s">
        <v>442</v>
      </c>
      <c r="O27" s="41">
        <v>36611.199999999997</v>
      </c>
      <c r="P27" s="41">
        <v>36611.199999999997</v>
      </c>
      <c r="Q27" s="54">
        <v>59999.5</v>
      </c>
      <c r="R27" s="45">
        <v>36611.199999999997</v>
      </c>
    </row>
    <row r="28" spans="2:18" x14ac:dyDescent="0.3">
      <c r="B28" s="144"/>
      <c r="C28" s="145" t="s">
        <v>429</v>
      </c>
      <c r="D28" s="145" t="s">
        <v>430</v>
      </c>
      <c r="E28" s="145" t="s">
        <v>431</v>
      </c>
      <c r="F28" s="145" t="s">
        <v>16</v>
      </c>
      <c r="G28" s="146" t="s">
        <v>432</v>
      </c>
      <c r="H28" s="136"/>
      <c r="I28" s="136"/>
      <c r="J28" s="137"/>
      <c r="M28" s="60"/>
      <c r="N28" s="49" t="s">
        <v>443</v>
      </c>
      <c r="O28" s="41">
        <v>20413.599999999999</v>
      </c>
      <c r="P28" s="41">
        <v>20413.599999999999</v>
      </c>
      <c r="Q28" s="41">
        <v>20413.599999999999</v>
      </c>
      <c r="R28" s="64">
        <v>11999.5</v>
      </c>
    </row>
    <row r="29" spans="2:18" x14ac:dyDescent="0.3">
      <c r="B29" s="140" t="s">
        <v>425</v>
      </c>
      <c r="C29" s="147">
        <v>1</v>
      </c>
      <c r="D29" s="147">
        <v>66487093821.129822</v>
      </c>
      <c r="E29" s="147">
        <v>66487093821.129822</v>
      </c>
      <c r="F29" s="147">
        <v>91.602680492758338</v>
      </c>
      <c r="G29" s="141">
        <v>4.4650935834291832E-18</v>
      </c>
      <c r="H29" s="136"/>
      <c r="I29" s="136"/>
      <c r="J29" s="137"/>
      <c r="M29" s="62" t="s">
        <v>453</v>
      </c>
      <c r="N29" s="50"/>
      <c r="O29" s="43"/>
      <c r="P29" s="43"/>
      <c r="Q29" s="43"/>
      <c r="R29" s="63"/>
    </row>
    <row r="30" spans="2:18" ht="15" thickBot="1" x14ac:dyDescent="0.35">
      <c r="B30" s="140" t="s">
        <v>426</v>
      </c>
      <c r="C30" s="147">
        <v>198</v>
      </c>
      <c r="D30" s="147">
        <v>143712438389.01004</v>
      </c>
      <c r="E30" s="147">
        <v>725820395.90409112</v>
      </c>
      <c r="F30" s="147"/>
      <c r="G30" s="141"/>
      <c r="H30" s="136"/>
      <c r="I30" s="136"/>
      <c r="J30" s="137"/>
      <c r="M30" s="65"/>
      <c r="N30" s="51" t="s">
        <v>444</v>
      </c>
      <c r="O30" s="42"/>
      <c r="P30" s="42"/>
      <c r="Q30" s="42"/>
      <c r="R30" s="46"/>
    </row>
    <row r="31" spans="2:18" ht="15" thickBot="1" x14ac:dyDescent="0.35">
      <c r="B31" s="142" t="s">
        <v>427</v>
      </c>
      <c r="C31" s="148">
        <v>199</v>
      </c>
      <c r="D31" s="148">
        <v>210199532210.13986</v>
      </c>
      <c r="E31" s="148"/>
      <c r="F31" s="148"/>
      <c r="G31" s="143"/>
      <c r="H31" s="136"/>
      <c r="I31" s="136"/>
      <c r="J31" s="137"/>
      <c r="M31" s="20" t="s">
        <v>454</v>
      </c>
      <c r="N31" s="44"/>
      <c r="O31" s="44"/>
      <c r="P31" s="44"/>
      <c r="Q31" s="44"/>
      <c r="R31" s="21"/>
    </row>
    <row r="32" spans="2:18" ht="15" thickBot="1" x14ac:dyDescent="0.35">
      <c r="B32" s="135"/>
      <c r="C32" s="136"/>
      <c r="D32" s="136"/>
      <c r="E32" s="136"/>
      <c r="F32" s="136"/>
      <c r="G32" s="136"/>
      <c r="H32" s="136"/>
      <c r="I32" s="136"/>
      <c r="J32" s="137"/>
      <c r="M32" s="20" t="s">
        <v>455</v>
      </c>
      <c r="N32" s="44"/>
      <c r="O32" s="44"/>
      <c r="P32" s="44"/>
      <c r="Q32" s="44"/>
      <c r="R32" s="21"/>
    </row>
    <row r="33" spans="2:18" ht="15" thickBot="1" x14ac:dyDescent="0.35">
      <c r="B33" s="144"/>
      <c r="C33" s="145" t="s">
        <v>433</v>
      </c>
      <c r="D33" s="145" t="s">
        <v>422</v>
      </c>
      <c r="E33" s="145" t="s">
        <v>434</v>
      </c>
      <c r="F33" s="145" t="s">
        <v>435</v>
      </c>
      <c r="G33" s="145" t="s">
        <v>436</v>
      </c>
      <c r="H33" s="145" t="s">
        <v>437</v>
      </c>
      <c r="I33" s="145" t="s">
        <v>438</v>
      </c>
      <c r="J33" s="146" t="s">
        <v>439</v>
      </c>
      <c r="M33" s="22" t="s">
        <v>456</v>
      </c>
      <c r="N33" s="66"/>
      <c r="O33" s="66"/>
      <c r="P33" s="66"/>
      <c r="Q33" s="66"/>
      <c r="R33" s="23"/>
    </row>
    <row r="34" spans="2:18" x14ac:dyDescent="0.3">
      <c r="B34" s="140" t="s">
        <v>428</v>
      </c>
      <c r="C34" s="147">
        <v>84.753650679551356</v>
      </c>
      <c r="D34" s="147">
        <v>4652.4987486912269</v>
      </c>
      <c r="E34" s="147">
        <v>1.8216802466286104E-2</v>
      </c>
      <c r="F34" s="147">
        <v>0.98548424196510553</v>
      </c>
      <c r="G34" s="147">
        <v>-9090.0551973510974</v>
      </c>
      <c r="H34" s="147">
        <v>9259.5624987102001</v>
      </c>
      <c r="I34" s="147">
        <v>-9090.0551973510974</v>
      </c>
      <c r="J34" s="141">
        <v>9259.5624987102001</v>
      </c>
    </row>
    <row r="35" spans="2:18" ht="15" thickBot="1" x14ac:dyDescent="0.35">
      <c r="B35" s="142" t="s">
        <v>440</v>
      </c>
      <c r="C35" s="148">
        <v>12835.63352269208</v>
      </c>
      <c r="D35" s="148">
        <v>1341.1063464058468</v>
      </c>
      <c r="E35" s="148">
        <v>9.5709289252798371</v>
      </c>
      <c r="F35" s="148">
        <v>4.4650935834292795E-18</v>
      </c>
      <c r="G35" s="148">
        <v>10190.948367942558</v>
      </c>
      <c r="H35" s="148">
        <v>15480.318677441603</v>
      </c>
      <c r="I35" s="148">
        <v>10190.948367942558</v>
      </c>
      <c r="J35" s="143">
        <v>15480.318677441603</v>
      </c>
    </row>
  </sheetData>
  <mergeCells count="12">
    <mergeCell ref="B18:J18"/>
    <mergeCell ref="P12:Q12"/>
    <mergeCell ref="P16:Q16"/>
    <mergeCell ref="M1:N1"/>
    <mergeCell ref="M4:N4"/>
    <mergeCell ref="M7:N7"/>
    <mergeCell ref="P3:Q3"/>
    <mergeCell ref="P7:Q7"/>
    <mergeCell ref="B2:C2"/>
    <mergeCell ref="E3:J3"/>
    <mergeCell ref="E4:J4"/>
    <mergeCell ref="E2:J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DataSheet!$F$5:$F$8</xm:f>
          </x14:formula1>
          <xm:sqref>P8 P17</xm:sqref>
        </x14:dataValidation>
        <x14:dataValidation type="list" allowBlank="1" showInputMessage="1" showErrorMessage="1">
          <x14:formula1>
            <xm:f>DataSheet!$C$46:$C$47</xm:f>
          </x14:formula1>
          <xm:sqref>P9</xm:sqref>
        </x14:dataValidation>
        <x14:dataValidation type="list" allowBlank="1" showInputMessage="1" showErrorMessage="1">
          <x14:formula1>
            <xm:f>DataSheet!$F$6:$F$9</xm:f>
          </x14:formula1>
          <xm:sqref>P13</xm:sqref>
        </x14:dataValidation>
        <x14:dataValidation type="list" allowBlank="1" showInputMessage="1" showErrorMessage="1">
          <x14:formula1>
            <xm:f>DataSheet!$C$2:$C$3</xm:f>
          </x14:formula1>
          <xm:sqref>P18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5"/>
  <sheetViews>
    <sheetView showGridLines="0" workbookViewId="0">
      <selection activeCell="H20" sqref="H20"/>
    </sheetView>
  </sheetViews>
  <sheetFormatPr defaultRowHeight="14.4" x14ac:dyDescent="0.3"/>
  <cols>
    <col min="2" max="2" width="12.5546875" bestFit="1" customWidth="1"/>
    <col min="3" max="3" width="15.5546875" customWidth="1"/>
    <col min="6" max="6" width="12.5546875" bestFit="1" customWidth="1"/>
    <col min="7" max="7" width="18.77734375" bestFit="1" customWidth="1"/>
    <col min="10" max="10" width="12.5546875" bestFit="1" customWidth="1"/>
    <col min="11" max="11" width="21.6640625" bestFit="1" customWidth="1"/>
    <col min="14" max="14" width="12.5546875" bestFit="1" customWidth="1"/>
    <col min="15" max="15" width="16.5546875" bestFit="1" customWidth="1"/>
  </cols>
  <sheetData>
    <row r="1" spans="2:15" x14ac:dyDescent="0.3">
      <c r="B1" s="86" t="s">
        <v>457</v>
      </c>
      <c r="C1" s="87"/>
      <c r="D1" s="87"/>
      <c r="E1" s="87"/>
      <c r="F1" s="87"/>
      <c r="G1" s="87"/>
      <c r="H1" s="87"/>
      <c r="I1" s="87"/>
      <c r="J1" s="87"/>
      <c r="K1" s="87"/>
      <c r="L1" s="87"/>
      <c r="M1" s="87"/>
      <c r="N1" s="87"/>
      <c r="O1" s="88"/>
    </row>
    <row r="2" spans="2:15" ht="15" thickBot="1" x14ac:dyDescent="0.35">
      <c r="B2" s="112"/>
      <c r="C2" s="113"/>
      <c r="D2" s="113"/>
      <c r="E2" s="113"/>
      <c r="F2" s="113"/>
      <c r="G2" s="113"/>
      <c r="H2" s="113"/>
      <c r="I2" s="113"/>
      <c r="J2" s="113"/>
      <c r="K2" s="113"/>
      <c r="L2" s="113"/>
      <c r="M2" s="113"/>
      <c r="N2" s="113"/>
      <c r="O2" s="114"/>
    </row>
    <row r="3" spans="2:15" x14ac:dyDescent="0.3">
      <c r="B3" s="20"/>
      <c r="C3" s="44"/>
      <c r="D3" s="44"/>
      <c r="E3" s="44"/>
      <c r="F3" s="44"/>
      <c r="G3" s="44"/>
      <c r="H3" s="44"/>
      <c r="I3" s="44"/>
      <c r="J3" s="44"/>
      <c r="K3" s="44"/>
      <c r="L3" s="44"/>
      <c r="M3" s="44"/>
      <c r="N3" s="44"/>
      <c r="O3" s="21"/>
    </row>
    <row r="4" spans="2:15" x14ac:dyDescent="0.3">
      <c r="B4" s="106" t="s">
        <v>403</v>
      </c>
      <c r="C4" s="44" t="s">
        <v>405</v>
      </c>
      <c r="D4" s="44"/>
      <c r="E4" s="44"/>
      <c r="F4" s="107" t="s">
        <v>403</v>
      </c>
      <c r="G4" s="44" t="s">
        <v>407</v>
      </c>
      <c r="H4" s="44"/>
      <c r="I4" s="44"/>
      <c r="J4" s="107" t="s">
        <v>403</v>
      </c>
      <c r="K4" s="44" t="s">
        <v>408</v>
      </c>
      <c r="L4" s="44"/>
      <c r="M4" s="44"/>
      <c r="N4" s="107" t="s">
        <v>403</v>
      </c>
      <c r="O4" s="21" t="s">
        <v>409</v>
      </c>
    </row>
    <row r="5" spans="2:15" x14ac:dyDescent="0.3">
      <c r="B5" s="108" t="s">
        <v>48</v>
      </c>
      <c r="C5" s="109">
        <v>2240292.3500000006</v>
      </c>
      <c r="D5" s="44"/>
      <c r="E5" s="44"/>
      <c r="F5" s="110" t="s">
        <v>27</v>
      </c>
      <c r="G5" s="109">
        <v>31413.793750000001</v>
      </c>
      <c r="H5" s="44"/>
      <c r="I5" s="44"/>
      <c r="J5" s="110" t="s">
        <v>59</v>
      </c>
      <c r="K5" s="109">
        <v>25</v>
      </c>
      <c r="L5" s="44"/>
      <c r="M5" s="44"/>
      <c r="N5" s="110" t="s">
        <v>48</v>
      </c>
      <c r="O5" s="111">
        <v>24</v>
      </c>
    </row>
    <row r="6" spans="2:15" x14ac:dyDescent="0.3">
      <c r="B6" s="108" t="s">
        <v>18</v>
      </c>
      <c r="C6" s="109">
        <v>3333789.4000000004</v>
      </c>
      <c r="D6" s="44"/>
      <c r="E6" s="44"/>
      <c r="F6" s="110" t="s">
        <v>45</v>
      </c>
      <c r="G6" s="109">
        <v>33311.73333333333</v>
      </c>
      <c r="H6" s="44"/>
      <c r="I6" s="44"/>
      <c r="J6" s="110" t="s">
        <v>17</v>
      </c>
      <c r="K6" s="109">
        <v>32</v>
      </c>
      <c r="L6" s="44"/>
      <c r="M6" s="44"/>
      <c r="N6" s="110" t="s">
        <v>18</v>
      </c>
      <c r="O6" s="111">
        <v>26</v>
      </c>
    </row>
    <row r="7" spans="2:15" x14ac:dyDescent="0.3">
      <c r="B7" s="108" t="s">
        <v>39</v>
      </c>
      <c r="C7" s="109">
        <v>1876558.5500000003</v>
      </c>
      <c r="D7" s="44"/>
      <c r="E7" s="44"/>
      <c r="F7" s="110" t="s">
        <v>20</v>
      </c>
      <c r="G7" s="109">
        <v>50378.75</v>
      </c>
      <c r="H7" s="44"/>
      <c r="I7" s="44"/>
      <c r="J7" s="110" t="s">
        <v>25</v>
      </c>
      <c r="K7" s="109">
        <v>26</v>
      </c>
      <c r="L7" s="44"/>
      <c r="M7" s="44"/>
      <c r="N7" s="110" t="s">
        <v>39</v>
      </c>
      <c r="O7" s="111">
        <v>25</v>
      </c>
    </row>
    <row r="8" spans="2:15" x14ac:dyDescent="0.3">
      <c r="B8" s="108" t="s">
        <v>43</v>
      </c>
      <c r="C8" s="109">
        <v>691266.45000000007</v>
      </c>
      <c r="D8" s="44"/>
      <c r="E8" s="44"/>
      <c r="F8" s="110" t="s">
        <v>36</v>
      </c>
      <c r="G8" s="109">
        <v>19692.346428571425</v>
      </c>
      <c r="H8" s="44"/>
      <c r="I8" s="44"/>
      <c r="J8" s="110" t="s">
        <v>42</v>
      </c>
      <c r="K8" s="109">
        <v>18</v>
      </c>
      <c r="L8" s="44"/>
      <c r="M8" s="44"/>
      <c r="N8" s="110" t="s">
        <v>43</v>
      </c>
      <c r="O8" s="111">
        <v>7</v>
      </c>
    </row>
    <row r="9" spans="2:15" x14ac:dyDescent="0.3">
      <c r="B9" s="108" t="s">
        <v>404</v>
      </c>
      <c r="C9" s="109">
        <v>8141906.7500000009</v>
      </c>
      <c r="D9" s="44"/>
      <c r="E9" s="44"/>
      <c r="F9" s="110" t="s">
        <v>404</v>
      </c>
      <c r="G9" s="109">
        <v>31534.3282051282</v>
      </c>
      <c r="H9" s="44"/>
      <c r="I9" s="44"/>
      <c r="J9" s="110" t="s">
        <v>30</v>
      </c>
      <c r="K9" s="109">
        <v>25</v>
      </c>
      <c r="L9" s="44"/>
      <c r="M9" s="44"/>
      <c r="N9" s="110" t="s">
        <v>404</v>
      </c>
      <c r="O9" s="111">
        <v>82</v>
      </c>
    </row>
    <row r="10" spans="2:15" x14ac:dyDescent="0.3">
      <c r="B10" s="20"/>
      <c r="C10" s="44"/>
      <c r="D10" s="44"/>
      <c r="E10" s="44"/>
      <c r="F10" s="44"/>
      <c r="G10" s="44"/>
      <c r="H10" s="44"/>
      <c r="I10" s="44"/>
      <c r="J10" s="110" t="s">
        <v>38</v>
      </c>
      <c r="K10" s="109">
        <v>24</v>
      </c>
      <c r="L10" s="44"/>
      <c r="M10" s="44"/>
      <c r="N10" s="44"/>
      <c r="O10" s="21"/>
    </row>
    <row r="11" spans="2:15" x14ac:dyDescent="0.3">
      <c r="B11" s="20"/>
      <c r="C11" s="44"/>
      <c r="D11" s="44"/>
      <c r="E11" s="44"/>
      <c r="F11" s="44"/>
      <c r="G11" s="44"/>
      <c r="H11" s="44"/>
      <c r="I11" s="44"/>
      <c r="J11" s="110" t="s">
        <v>130</v>
      </c>
      <c r="K11" s="109">
        <v>27</v>
      </c>
      <c r="L11" s="44"/>
      <c r="M11" s="44"/>
      <c r="N11" s="44"/>
      <c r="O11" s="21"/>
    </row>
    <row r="12" spans="2:15" x14ac:dyDescent="0.3">
      <c r="B12" s="20"/>
      <c r="C12" s="44"/>
      <c r="D12" s="44"/>
      <c r="E12" s="44"/>
      <c r="F12" s="44"/>
      <c r="G12" s="44"/>
      <c r="H12" s="44"/>
      <c r="I12" s="44"/>
      <c r="J12" s="110" t="s">
        <v>47</v>
      </c>
      <c r="K12" s="109">
        <v>23</v>
      </c>
      <c r="L12" s="44"/>
      <c r="M12" s="44"/>
      <c r="N12" s="44"/>
      <c r="O12" s="21"/>
    </row>
    <row r="13" spans="2:15" x14ac:dyDescent="0.3">
      <c r="B13" s="20"/>
      <c r="C13" s="44"/>
      <c r="D13" s="44"/>
      <c r="E13" s="44"/>
      <c r="F13" s="44"/>
      <c r="G13" s="44"/>
      <c r="H13" s="44"/>
      <c r="I13" s="44"/>
      <c r="J13" s="110" t="s">
        <v>404</v>
      </c>
      <c r="K13" s="109">
        <v>200</v>
      </c>
      <c r="L13" s="44"/>
      <c r="M13" s="44"/>
      <c r="N13" s="44"/>
      <c r="O13" s="21"/>
    </row>
    <row r="14" spans="2:15" x14ac:dyDescent="0.3">
      <c r="B14" s="20"/>
      <c r="C14" s="44"/>
      <c r="D14" s="44"/>
      <c r="E14" s="44"/>
      <c r="F14" s="44"/>
      <c r="G14" s="44"/>
      <c r="H14" s="44"/>
      <c r="I14" s="44"/>
      <c r="J14" s="44"/>
      <c r="K14" s="44"/>
      <c r="L14" s="44"/>
      <c r="M14" s="44"/>
      <c r="N14" s="44"/>
      <c r="O14" s="21"/>
    </row>
    <row r="15" spans="2:15" ht="15" thickBot="1" x14ac:dyDescent="0.35">
      <c r="B15" s="22"/>
      <c r="C15" s="66"/>
      <c r="D15" s="66"/>
      <c r="E15" s="66"/>
      <c r="F15" s="66"/>
      <c r="G15" s="66"/>
      <c r="H15" s="66"/>
      <c r="I15" s="66"/>
      <c r="J15" s="66"/>
      <c r="K15" s="66"/>
      <c r="L15" s="66"/>
      <c r="M15" s="66"/>
      <c r="N15" s="66"/>
      <c r="O15" s="23"/>
    </row>
  </sheetData>
  <mergeCells count="1">
    <mergeCell ref="B1: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Views>
    <sheetView workbookViewId="0">
      <selection activeCell="Q14" sqref="Q14"/>
    </sheetView>
  </sheetViews>
  <sheetFormatPr defaultRowHeight="14.4" x14ac:dyDescent="0.3"/>
  <cols>
    <col min="1" max="1" width="14.44140625" customWidth="1"/>
    <col min="2" max="2" width="16" customWidth="1"/>
    <col min="3" max="3" width="9" customWidth="1"/>
    <col min="5" max="5" width="9.5546875" customWidth="1"/>
    <col min="6" max="6" width="10.44140625" customWidth="1"/>
    <col min="7" max="7" width="10.21875" customWidth="1"/>
    <col min="8" max="8" width="10.5546875" customWidth="1"/>
    <col min="9" max="9" width="11.21875" customWidth="1"/>
    <col min="10" max="10" width="16.6640625" customWidth="1"/>
    <col min="11" max="11" width="10.88671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388</v>
      </c>
      <c r="B2" t="s">
        <v>81</v>
      </c>
      <c r="C2" t="s">
        <v>24</v>
      </c>
      <c r="D2">
        <v>43</v>
      </c>
      <c r="E2" t="s">
        <v>47</v>
      </c>
      <c r="F2" t="s">
        <v>48</v>
      </c>
      <c r="G2">
        <v>4</v>
      </c>
      <c r="H2">
        <v>1675</v>
      </c>
      <c r="I2">
        <v>6700</v>
      </c>
      <c r="J2">
        <v>0.2</v>
      </c>
      <c r="K2">
        <v>5360</v>
      </c>
      <c r="L2" t="s">
        <v>389</v>
      </c>
      <c r="M2" t="s">
        <v>27</v>
      </c>
      <c r="N2" t="s">
        <v>32</v>
      </c>
    </row>
    <row r="3" spans="1:14" x14ac:dyDescent="0.3">
      <c r="A3" t="s">
        <v>376</v>
      </c>
      <c r="B3" t="s">
        <v>76</v>
      </c>
      <c r="C3" t="s">
        <v>24</v>
      </c>
      <c r="D3">
        <v>24</v>
      </c>
      <c r="E3" t="s">
        <v>47</v>
      </c>
      <c r="F3" t="s">
        <v>48</v>
      </c>
      <c r="G3">
        <v>4</v>
      </c>
      <c r="H3">
        <v>11037</v>
      </c>
      <c r="I3">
        <v>44148</v>
      </c>
      <c r="J3">
        <v>0.1</v>
      </c>
      <c r="K3">
        <v>39733.199999999997</v>
      </c>
      <c r="L3" t="s">
        <v>377</v>
      </c>
      <c r="M3" t="s">
        <v>20</v>
      </c>
      <c r="N3" t="s">
        <v>28</v>
      </c>
    </row>
    <row r="4" spans="1:14" x14ac:dyDescent="0.3">
      <c r="A4" t="s">
        <v>368</v>
      </c>
      <c r="B4" t="s">
        <v>15</v>
      </c>
      <c r="C4" t="s">
        <v>16</v>
      </c>
      <c r="D4">
        <v>48</v>
      </c>
      <c r="E4" t="s">
        <v>59</v>
      </c>
      <c r="F4" t="s">
        <v>48</v>
      </c>
      <c r="G4">
        <v>3</v>
      </c>
      <c r="H4">
        <v>9254</v>
      </c>
      <c r="I4">
        <v>27762</v>
      </c>
      <c r="J4">
        <v>0.2</v>
      </c>
      <c r="K4">
        <v>22209.599999999999</v>
      </c>
      <c r="L4" t="s">
        <v>369</v>
      </c>
      <c r="M4" t="s">
        <v>36</v>
      </c>
      <c r="N4" t="s">
        <v>28</v>
      </c>
    </row>
    <row r="5" spans="1:14" x14ac:dyDescent="0.3">
      <c r="A5" t="s">
        <v>363</v>
      </c>
      <c r="B5" t="s">
        <v>34</v>
      </c>
      <c r="C5" t="s">
        <v>16</v>
      </c>
      <c r="D5">
        <v>58</v>
      </c>
      <c r="E5" t="s">
        <v>59</v>
      </c>
      <c r="F5" t="s">
        <v>48</v>
      </c>
      <c r="G5">
        <v>4</v>
      </c>
      <c r="H5">
        <v>7554</v>
      </c>
      <c r="I5">
        <v>30216</v>
      </c>
      <c r="J5">
        <v>0.1</v>
      </c>
      <c r="K5">
        <v>27194.400000000001</v>
      </c>
      <c r="L5" t="s">
        <v>278</v>
      </c>
      <c r="M5" t="s">
        <v>20</v>
      </c>
      <c r="N5" t="s">
        <v>32</v>
      </c>
    </row>
    <row r="6" spans="1:14" x14ac:dyDescent="0.3">
      <c r="A6" t="s">
        <v>359</v>
      </c>
      <c r="B6" t="s">
        <v>69</v>
      </c>
      <c r="C6" t="s">
        <v>16</v>
      </c>
      <c r="D6">
        <v>38</v>
      </c>
      <c r="E6" t="s">
        <v>59</v>
      </c>
      <c r="F6" t="s">
        <v>48</v>
      </c>
      <c r="G6">
        <v>5</v>
      </c>
      <c r="H6">
        <v>21053</v>
      </c>
      <c r="I6">
        <v>105265</v>
      </c>
      <c r="J6">
        <v>0.05</v>
      </c>
      <c r="K6">
        <v>100001.75</v>
      </c>
      <c r="L6" t="s">
        <v>360</v>
      </c>
      <c r="M6" t="s">
        <v>20</v>
      </c>
      <c r="N6" t="s">
        <v>40</v>
      </c>
    </row>
    <row r="7" spans="1:14" x14ac:dyDescent="0.3">
      <c r="A7" t="s">
        <v>357</v>
      </c>
      <c r="B7" t="s">
        <v>15</v>
      </c>
      <c r="C7" t="s">
        <v>16</v>
      </c>
      <c r="D7">
        <v>50</v>
      </c>
      <c r="E7" t="s">
        <v>47</v>
      </c>
      <c r="F7" t="s">
        <v>48</v>
      </c>
      <c r="G7">
        <v>5</v>
      </c>
      <c r="H7">
        <v>17584</v>
      </c>
      <c r="I7">
        <v>87920</v>
      </c>
      <c r="J7">
        <v>0.05</v>
      </c>
      <c r="K7">
        <v>83524</v>
      </c>
      <c r="L7" t="s">
        <v>358</v>
      </c>
      <c r="M7" t="s">
        <v>36</v>
      </c>
      <c r="N7" t="s">
        <v>32</v>
      </c>
    </row>
    <row r="8" spans="1:14" x14ac:dyDescent="0.3">
      <c r="A8" t="s">
        <v>46</v>
      </c>
      <c r="B8" t="s">
        <v>23</v>
      </c>
      <c r="C8" t="s">
        <v>395</v>
      </c>
      <c r="D8">
        <v>50</v>
      </c>
      <c r="E8" t="s">
        <v>47</v>
      </c>
      <c r="F8" t="s">
        <v>48</v>
      </c>
      <c r="G8">
        <v>4</v>
      </c>
      <c r="H8">
        <v>17007</v>
      </c>
      <c r="I8">
        <v>68028</v>
      </c>
      <c r="J8">
        <v>0.2</v>
      </c>
      <c r="K8">
        <v>54422.400000000001</v>
      </c>
      <c r="L8" t="s">
        <v>49</v>
      </c>
      <c r="M8" t="s">
        <v>36</v>
      </c>
      <c r="N8" t="s">
        <v>21</v>
      </c>
    </row>
    <row r="9" spans="1:14" x14ac:dyDescent="0.3">
      <c r="A9" t="s">
        <v>351</v>
      </c>
      <c r="B9" t="s">
        <v>93</v>
      </c>
      <c r="C9" t="s">
        <v>16</v>
      </c>
      <c r="D9">
        <v>28</v>
      </c>
      <c r="E9" t="s">
        <v>47</v>
      </c>
      <c r="F9" t="s">
        <v>48</v>
      </c>
      <c r="G9">
        <v>5</v>
      </c>
      <c r="H9">
        <v>19422</v>
      </c>
      <c r="I9">
        <v>97110</v>
      </c>
      <c r="J9">
        <v>0</v>
      </c>
      <c r="K9">
        <v>97110</v>
      </c>
      <c r="L9" t="s">
        <v>352</v>
      </c>
      <c r="M9" t="s">
        <v>20</v>
      </c>
      <c r="N9" t="s">
        <v>21</v>
      </c>
    </row>
    <row r="10" spans="1:14" x14ac:dyDescent="0.3">
      <c r="A10" t="s">
        <v>349</v>
      </c>
      <c r="B10" t="s">
        <v>66</v>
      </c>
      <c r="C10" t="s">
        <v>24</v>
      </c>
      <c r="D10">
        <v>44</v>
      </c>
      <c r="E10" t="s">
        <v>59</v>
      </c>
      <c r="F10" t="s">
        <v>48</v>
      </c>
      <c r="G10">
        <v>5</v>
      </c>
      <c r="H10">
        <v>27824</v>
      </c>
      <c r="I10">
        <v>139120</v>
      </c>
      <c r="J10">
        <v>0.05</v>
      </c>
      <c r="K10">
        <v>132164</v>
      </c>
      <c r="L10" t="s">
        <v>350</v>
      </c>
      <c r="M10" t="s">
        <v>36</v>
      </c>
      <c r="N10" t="s">
        <v>32</v>
      </c>
    </row>
    <row r="11" spans="1:14" x14ac:dyDescent="0.3">
      <c r="A11" t="s">
        <v>347</v>
      </c>
      <c r="B11" t="s">
        <v>34</v>
      </c>
      <c r="C11" t="s">
        <v>16</v>
      </c>
      <c r="D11">
        <v>23</v>
      </c>
      <c r="E11" t="s">
        <v>59</v>
      </c>
      <c r="F11" t="s">
        <v>48</v>
      </c>
      <c r="G11">
        <v>1</v>
      </c>
      <c r="H11">
        <v>19462</v>
      </c>
      <c r="I11">
        <v>19462</v>
      </c>
      <c r="J11">
        <v>0.15</v>
      </c>
      <c r="K11">
        <v>16542.7</v>
      </c>
      <c r="L11" t="s">
        <v>348</v>
      </c>
      <c r="M11" t="s">
        <v>20</v>
      </c>
      <c r="N11" t="s">
        <v>21</v>
      </c>
    </row>
    <row r="12" spans="1:14" x14ac:dyDescent="0.3">
      <c r="A12" t="s">
        <v>58</v>
      </c>
      <c r="B12" t="s">
        <v>15</v>
      </c>
      <c r="C12" t="s">
        <v>394</v>
      </c>
      <c r="D12">
        <v>24</v>
      </c>
      <c r="E12" t="s">
        <v>59</v>
      </c>
      <c r="F12" t="s">
        <v>48</v>
      </c>
      <c r="G12">
        <v>3</v>
      </c>
      <c r="H12">
        <v>9220</v>
      </c>
      <c r="I12">
        <v>27660</v>
      </c>
      <c r="J12">
        <v>0</v>
      </c>
      <c r="K12">
        <v>27660</v>
      </c>
      <c r="L12" t="s">
        <v>60</v>
      </c>
      <c r="M12" t="s">
        <v>45</v>
      </c>
      <c r="N12" t="s">
        <v>21</v>
      </c>
    </row>
    <row r="13" spans="1:14" x14ac:dyDescent="0.3">
      <c r="A13" t="s">
        <v>341</v>
      </c>
      <c r="B13" t="s">
        <v>34</v>
      </c>
      <c r="C13" t="s">
        <v>16</v>
      </c>
      <c r="D13">
        <v>22</v>
      </c>
      <c r="E13" t="s">
        <v>59</v>
      </c>
      <c r="F13" t="s">
        <v>48</v>
      </c>
      <c r="G13">
        <v>1</v>
      </c>
      <c r="H13">
        <v>10873</v>
      </c>
      <c r="I13">
        <v>10873</v>
      </c>
      <c r="J13">
        <v>0.05</v>
      </c>
      <c r="K13">
        <v>10329.35</v>
      </c>
      <c r="L13" t="s">
        <v>342</v>
      </c>
      <c r="M13" t="s">
        <v>45</v>
      </c>
      <c r="N13" t="s">
        <v>40</v>
      </c>
    </row>
    <row r="14" spans="1:14" x14ac:dyDescent="0.3">
      <c r="A14" t="s">
        <v>63</v>
      </c>
      <c r="B14" t="s">
        <v>34</v>
      </c>
      <c r="C14" t="s">
        <v>394</v>
      </c>
      <c r="D14">
        <v>42</v>
      </c>
      <c r="E14" t="s">
        <v>47</v>
      </c>
      <c r="F14" t="s">
        <v>48</v>
      </c>
      <c r="G14">
        <v>5</v>
      </c>
      <c r="H14">
        <v>1337</v>
      </c>
      <c r="I14">
        <v>6685</v>
      </c>
      <c r="J14">
        <v>0.15</v>
      </c>
      <c r="K14">
        <v>5682.25</v>
      </c>
      <c r="L14" t="s">
        <v>64</v>
      </c>
      <c r="M14" t="s">
        <v>20</v>
      </c>
      <c r="N14" t="s">
        <v>40</v>
      </c>
    </row>
    <row r="15" spans="1:14" x14ac:dyDescent="0.3">
      <c r="A15" t="s">
        <v>335</v>
      </c>
      <c r="B15" t="s">
        <v>66</v>
      </c>
      <c r="C15" t="s">
        <v>24</v>
      </c>
      <c r="D15">
        <v>24</v>
      </c>
      <c r="E15" t="s">
        <v>47</v>
      </c>
      <c r="F15" t="s">
        <v>48</v>
      </c>
      <c r="G15">
        <v>1</v>
      </c>
      <c r="H15">
        <v>17163</v>
      </c>
      <c r="I15">
        <v>17163</v>
      </c>
      <c r="J15">
        <v>0</v>
      </c>
      <c r="K15">
        <v>17163</v>
      </c>
      <c r="L15" t="s">
        <v>336</v>
      </c>
      <c r="M15" t="s">
        <v>20</v>
      </c>
      <c r="N15" t="s">
        <v>21</v>
      </c>
    </row>
    <row r="16" spans="1:14" x14ac:dyDescent="0.3">
      <c r="A16" t="s">
        <v>331</v>
      </c>
      <c r="B16" t="s">
        <v>34</v>
      </c>
      <c r="C16" t="s">
        <v>16</v>
      </c>
      <c r="D16">
        <v>20</v>
      </c>
      <c r="E16" t="s">
        <v>47</v>
      </c>
      <c r="F16" t="s">
        <v>48</v>
      </c>
      <c r="G16">
        <v>3</v>
      </c>
      <c r="H16">
        <v>11699</v>
      </c>
      <c r="I16">
        <v>35097</v>
      </c>
      <c r="J16">
        <v>0.2</v>
      </c>
      <c r="K16">
        <v>28077.599999999999</v>
      </c>
      <c r="L16" t="s">
        <v>319</v>
      </c>
      <c r="M16" t="s">
        <v>20</v>
      </c>
      <c r="N16" t="s">
        <v>40</v>
      </c>
    </row>
    <row r="17" spans="1:14" x14ac:dyDescent="0.3">
      <c r="A17" t="s">
        <v>313</v>
      </c>
      <c r="B17" t="s">
        <v>93</v>
      </c>
      <c r="C17" t="s">
        <v>16</v>
      </c>
      <c r="D17">
        <v>33</v>
      </c>
      <c r="E17" t="s">
        <v>59</v>
      </c>
      <c r="F17" t="s">
        <v>48</v>
      </c>
      <c r="G17">
        <v>2</v>
      </c>
      <c r="H17">
        <v>14079</v>
      </c>
      <c r="I17">
        <v>28158</v>
      </c>
      <c r="J17">
        <v>0</v>
      </c>
      <c r="K17">
        <v>28158</v>
      </c>
      <c r="L17" t="s">
        <v>118</v>
      </c>
      <c r="M17" t="s">
        <v>45</v>
      </c>
      <c r="N17" t="s">
        <v>28</v>
      </c>
    </row>
    <row r="18" spans="1:14" x14ac:dyDescent="0.3">
      <c r="A18" t="s">
        <v>73</v>
      </c>
      <c r="B18" t="s">
        <v>23</v>
      </c>
      <c r="C18" t="s">
        <v>395</v>
      </c>
      <c r="D18">
        <v>29</v>
      </c>
      <c r="E18" t="s">
        <v>59</v>
      </c>
      <c r="F18" t="s">
        <v>48</v>
      </c>
      <c r="G18">
        <v>5</v>
      </c>
      <c r="H18">
        <v>16552</v>
      </c>
      <c r="I18">
        <v>82760</v>
      </c>
      <c r="J18">
        <v>0.15</v>
      </c>
      <c r="K18">
        <v>70346</v>
      </c>
      <c r="L18" t="s">
        <v>74</v>
      </c>
      <c r="M18" t="s">
        <v>27</v>
      </c>
      <c r="N18" t="s">
        <v>21</v>
      </c>
    </row>
    <row r="19" spans="1:14" x14ac:dyDescent="0.3">
      <c r="A19" t="s">
        <v>305</v>
      </c>
      <c r="B19" t="s">
        <v>54</v>
      </c>
      <c r="C19" t="s">
        <v>24</v>
      </c>
      <c r="D19">
        <v>56</v>
      </c>
      <c r="E19" t="s">
        <v>47</v>
      </c>
      <c r="F19" t="s">
        <v>48</v>
      </c>
      <c r="G19">
        <v>4</v>
      </c>
      <c r="H19">
        <v>18845</v>
      </c>
      <c r="I19">
        <v>75380</v>
      </c>
      <c r="J19">
        <v>0.2</v>
      </c>
      <c r="K19">
        <v>60304</v>
      </c>
      <c r="L19" t="s">
        <v>306</v>
      </c>
      <c r="M19" t="s">
        <v>36</v>
      </c>
      <c r="N19" t="s">
        <v>40</v>
      </c>
    </row>
    <row r="20" spans="1:14" x14ac:dyDescent="0.3">
      <c r="A20" t="s">
        <v>303</v>
      </c>
      <c r="B20" t="s">
        <v>15</v>
      </c>
      <c r="C20" t="s">
        <v>16</v>
      </c>
      <c r="D20">
        <v>24</v>
      </c>
      <c r="E20" t="s">
        <v>47</v>
      </c>
      <c r="F20" t="s">
        <v>48</v>
      </c>
      <c r="G20">
        <v>2</v>
      </c>
      <c r="H20">
        <v>29779</v>
      </c>
      <c r="I20">
        <v>59558</v>
      </c>
      <c r="J20">
        <v>0.1</v>
      </c>
      <c r="K20">
        <v>53602.2</v>
      </c>
      <c r="L20" t="s">
        <v>304</v>
      </c>
      <c r="M20" t="s">
        <v>45</v>
      </c>
      <c r="N20" t="s">
        <v>28</v>
      </c>
    </row>
    <row r="21" spans="1:14" x14ac:dyDescent="0.3">
      <c r="A21" t="s">
        <v>299</v>
      </c>
      <c r="B21" t="s">
        <v>66</v>
      </c>
      <c r="C21" t="s">
        <v>24</v>
      </c>
      <c r="D21">
        <v>41</v>
      </c>
      <c r="E21" t="s">
        <v>47</v>
      </c>
      <c r="F21" t="s">
        <v>48</v>
      </c>
      <c r="G21">
        <v>4</v>
      </c>
      <c r="H21">
        <v>1608</v>
      </c>
      <c r="I21">
        <v>6432</v>
      </c>
      <c r="J21">
        <v>0</v>
      </c>
      <c r="K21">
        <v>6432</v>
      </c>
      <c r="L21" t="s">
        <v>67</v>
      </c>
      <c r="M21" t="s">
        <v>36</v>
      </c>
      <c r="N21" t="s">
        <v>28</v>
      </c>
    </row>
    <row r="22" spans="1:14" x14ac:dyDescent="0.3">
      <c r="A22" t="s">
        <v>294</v>
      </c>
      <c r="B22" t="s">
        <v>69</v>
      </c>
      <c r="C22" t="s">
        <v>16</v>
      </c>
      <c r="D22">
        <v>24</v>
      </c>
      <c r="E22" t="s">
        <v>47</v>
      </c>
      <c r="F22" t="s">
        <v>48</v>
      </c>
      <c r="G22">
        <v>5</v>
      </c>
      <c r="H22">
        <v>1810</v>
      </c>
      <c r="I22">
        <v>9050</v>
      </c>
      <c r="J22">
        <v>0</v>
      </c>
      <c r="K22">
        <v>9050</v>
      </c>
      <c r="L22" t="s">
        <v>295</v>
      </c>
      <c r="M22" t="s">
        <v>45</v>
      </c>
      <c r="N22" t="s">
        <v>21</v>
      </c>
    </row>
    <row r="23" spans="1:14" x14ac:dyDescent="0.3">
      <c r="A23" t="s">
        <v>85</v>
      </c>
      <c r="B23" t="s">
        <v>34</v>
      </c>
      <c r="C23" t="s">
        <v>394</v>
      </c>
      <c r="D23">
        <v>32</v>
      </c>
      <c r="E23" t="s">
        <v>47</v>
      </c>
      <c r="F23" t="s">
        <v>48</v>
      </c>
      <c r="G23">
        <v>2</v>
      </c>
      <c r="H23">
        <v>26872</v>
      </c>
      <c r="I23">
        <v>53744</v>
      </c>
      <c r="J23">
        <v>0.05</v>
      </c>
      <c r="K23">
        <v>51056.800000000003</v>
      </c>
      <c r="L23" t="s">
        <v>86</v>
      </c>
      <c r="M23" t="s">
        <v>27</v>
      </c>
      <c r="N23" t="s">
        <v>32</v>
      </c>
    </row>
    <row r="24" spans="1:14" x14ac:dyDescent="0.3">
      <c r="A24" t="s">
        <v>292</v>
      </c>
      <c r="B24" t="s">
        <v>93</v>
      </c>
      <c r="C24" t="s">
        <v>16</v>
      </c>
      <c r="D24">
        <v>46</v>
      </c>
      <c r="E24" t="s">
        <v>47</v>
      </c>
      <c r="F24" t="s">
        <v>48</v>
      </c>
      <c r="G24">
        <v>2</v>
      </c>
      <c r="H24">
        <v>27308</v>
      </c>
      <c r="I24">
        <v>54616</v>
      </c>
      <c r="J24">
        <v>0.15</v>
      </c>
      <c r="K24">
        <v>46423.6</v>
      </c>
      <c r="L24" t="s">
        <v>293</v>
      </c>
      <c r="M24" t="s">
        <v>27</v>
      </c>
      <c r="N24" t="s">
        <v>40</v>
      </c>
    </row>
    <row r="25" spans="1:14" x14ac:dyDescent="0.3">
      <c r="A25" t="s">
        <v>277</v>
      </c>
      <c r="B25" t="s">
        <v>23</v>
      </c>
      <c r="C25" t="s">
        <v>24</v>
      </c>
      <c r="D25">
        <v>19</v>
      </c>
      <c r="E25" t="s">
        <v>59</v>
      </c>
      <c r="F25" t="s">
        <v>48</v>
      </c>
      <c r="G25">
        <v>4</v>
      </c>
      <c r="H25">
        <v>11389</v>
      </c>
      <c r="I25">
        <v>45556</v>
      </c>
      <c r="J25">
        <v>0</v>
      </c>
      <c r="K25">
        <v>45556</v>
      </c>
      <c r="L25" t="s">
        <v>278</v>
      </c>
      <c r="M25" t="s">
        <v>45</v>
      </c>
      <c r="N25" t="s">
        <v>40</v>
      </c>
    </row>
    <row r="26" spans="1:14" x14ac:dyDescent="0.3">
      <c r="A26" t="s">
        <v>268</v>
      </c>
      <c r="B26" t="s">
        <v>15</v>
      </c>
      <c r="C26" t="s">
        <v>16</v>
      </c>
      <c r="D26">
        <v>22</v>
      </c>
      <c r="E26" t="s">
        <v>59</v>
      </c>
      <c r="F26" t="s">
        <v>48</v>
      </c>
      <c r="G26">
        <v>3</v>
      </c>
      <c r="H26">
        <v>837</v>
      </c>
      <c r="I26">
        <v>2511</v>
      </c>
      <c r="J26">
        <v>0</v>
      </c>
      <c r="K26">
        <v>2511</v>
      </c>
      <c r="L26" t="s">
        <v>269</v>
      </c>
      <c r="M26" t="s">
        <v>45</v>
      </c>
      <c r="N26" t="s">
        <v>21</v>
      </c>
    </row>
    <row r="27" spans="1:14" x14ac:dyDescent="0.3">
      <c r="A27" t="s">
        <v>259</v>
      </c>
      <c r="B27" t="s">
        <v>54</v>
      </c>
      <c r="C27" t="s">
        <v>24</v>
      </c>
      <c r="D27">
        <v>52</v>
      </c>
      <c r="E27" t="s">
        <v>59</v>
      </c>
      <c r="F27" t="s">
        <v>48</v>
      </c>
      <c r="G27">
        <v>3</v>
      </c>
      <c r="H27">
        <v>21571</v>
      </c>
      <c r="I27">
        <v>64713</v>
      </c>
      <c r="J27">
        <v>0.2</v>
      </c>
      <c r="K27">
        <v>51770.400000000001</v>
      </c>
      <c r="L27" t="s">
        <v>260</v>
      </c>
      <c r="M27" t="s">
        <v>36</v>
      </c>
      <c r="N27" t="s">
        <v>32</v>
      </c>
    </row>
    <row r="28" spans="1:14" x14ac:dyDescent="0.3">
      <c r="A28" t="s">
        <v>95</v>
      </c>
      <c r="B28" t="s">
        <v>23</v>
      </c>
      <c r="C28" t="s">
        <v>395</v>
      </c>
      <c r="D28">
        <v>30</v>
      </c>
      <c r="E28" t="s">
        <v>59</v>
      </c>
      <c r="F28" t="s">
        <v>48</v>
      </c>
      <c r="G28">
        <v>5</v>
      </c>
      <c r="H28">
        <v>1407</v>
      </c>
      <c r="I28">
        <v>7035</v>
      </c>
      <c r="J28">
        <v>0</v>
      </c>
      <c r="K28">
        <v>7035</v>
      </c>
      <c r="L28" t="s">
        <v>96</v>
      </c>
      <c r="M28" t="s">
        <v>20</v>
      </c>
      <c r="N28" t="s">
        <v>32</v>
      </c>
    </row>
    <row r="29" spans="1:14" x14ac:dyDescent="0.3">
      <c r="A29" t="s">
        <v>97</v>
      </c>
      <c r="B29" t="s">
        <v>54</v>
      </c>
      <c r="C29" t="s">
        <v>395</v>
      </c>
      <c r="D29">
        <v>57</v>
      </c>
      <c r="E29" t="s">
        <v>47</v>
      </c>
      <c r="F29" t="s">
        <v>48</v>
      </c>
      <c r="G29">
        <v>1</v>
      </c>
      <c r="H29">
        <v>21838</v>
      </c>
      <c r="I29">
        <v>21838</v>
      </c>
      <c r="J29">
        <v>0.1</v>
      </c>
      <c r="K29">
        <v>19654.2</v>
      </c>
      <c r="L29" t="s">
        <v>98</v>
      </c>
      <c r="M29" t="s">
        <v>27</v>
      </c>
      <c r="N29" t="s">
        <v>32</v>
      </c>
    </row>
    <row r="30" spans="1:14" x14ac:dyDescent="0.3">
      <c r="A30" t="s">
        <v>258</v>
      </c>
      <c r="B30" t="s">
        <v>69</v>
      </c>
      <c r="C30" t="s">
        <v>16</v>
      </c>
      <c r="D30">
        <v>28</v>
      </c>
      <c r="E30" t="s">
        <v>59</v>
      </c>
      <c r="F30" t="s">
        <v>48</v>
      </c>
      <c r="G30">
        <v>3</v>
      </c>
      <c r="H30">
        <v>12379</v>
      </c>
      <c r="I30">
        <v>37137</v>
      </c>
      <c r="J30">
        <v>0.1</v>
      </c>
      <c r="K30">
        <v>33423.300000000003</v>
      </c>
      <c r="L30" t="s">
        <v>199</v>
      </c>
      <c r="M30" t="s">
        <v>27</v>
      </c>
      <c r="N30" t="s">
        <v>28</v>
      </c>
    </row>
    <row r="31" spans="1:14" x14ac:dyDescent="0.3">
      <c r="A31" t="s">
        <v>256</v>
      </c>
      <c r="B31" t="s">
        <v>15</v>
      </c>
      <c r="C31" t="s">
        <v>16</v>
      </c>
      <c r="D31">
        <v>29</v>
      </c>
      <c r="E31" t="s">
        <v>47</v>
      </c>
      <c r="F31" t="s">
        <v>48</v>
      </c>
      <c r="G31">
        <v>1</v>
      </c>
      <c r="H31">
        <v>11225</v>
      </c>
      <c r="I31">
        <v>11225</v>
      </c>
      <c r="J31">
        <v>0</v>
      </c>
      <c r="K31">
        <v>11225</v>
      </c>
      <c r="L31" t="s">
        <v>257</v>
      </c>
      <c r="M31" t="s">
        <v>27</v>
      </c>
      <c r="N31" t="s">
        <v>21</v>
      </c>
    </row>
    <row r="32" spans="1:14" x14ac:dyDescent="0.3">
      <c r="A32" t="s">
        <v>103</v>
      </c>
      <c r="B32" t="s">
        <v>51</v>
      </c>
      <c r="C32" t="s">
        <v>394</v>
      </c>
      <c r="D32">
        <v>25</v>
      </c>
      <c r="E32" t="s">
        <v>47</v>
      </c>
      <c r="F32" t="s">
        <v>48</v>
      </c>
      <c r="G32">
        <v>4</v>
      </c>
      <c r="H32">
        <v>24832</v>
      </c>
      <c r="I32">
        <v>99328</v>
      </c>
      <c r="J32">
        <v>0.05</v>
      </c>
      <c r="K32">
        <v>94361.600000000006</v>
      </c>
      <c r="L32" t="s">
        <v>49</v>
      </c>
      <c r="M32" t="s">
        <v>45</v>
      </c>
      <c r="N32" t="s">
        <v>21</v>
      </c>
    </row>
    <row r="33" spans="1:14" x14ac:dyDescent="0.3">
      <c r="A33" t="s">
        <v>251</v>
      </c>
      <c r="B33" t="s">
        <v>51</v>
      </c>
      <c r="C33" t="s">
        <v>16</v>
      </c>
      <c r="D33">
        <v>35</v>
      </c>
      <c r="E33" t="s">
        <v>47</v>
      </c>
      <c r="F33" t="s">
        <v>48</v>
      </c>
      <c r="G33">
        <v>5</v>
      </c>
      <c r="H33">
        <v>25975</v>
      </c>
      <c r="I33">
        <v>129875</v>
      </c>
      <c r="J33">
        <v>0.1</v>
      </c>
      <c r="K33">
        <v>116887.5</v>
      </c>
      <c r="L33" t="s">
        <v>252</v>
      </c>
      <c r="M33" t="s">
        <v>45</v>
      </c>
      <c r="N33" t="s">
        <v>40</v>
      </c>
    </row>
    <row r="34" spans="1:14" x14ac:dyDescent="0.3">
      <c r="A34" t="s">
        <v>246</v>
      </c>
      <c r="B34" t="s">
        <v>23</v>
      </c>
      <c r="C34" t="s">
        <v>24</v>
      </c>
      <c r="D34">
        <v>40</v>
      </c>
      <c r="E34" t="s">
        <v>59</v>
      </c>
      <c r="F34" t="s">
        <v>48</v>
      </c>
      <c r="G34">
        <v>5</v>
      </c>
      <c r="H34">
        <v>1195</v>
      </c>
      <c r="I34">
        <v>5975</v>
      </c>
      <c r="J34">
        <v>0.15</v>
      </c>
      <c r="K34">
        <v>5078.75</v>
      </c>
      <c r="L34" t="s">
        <v>247</v>
      </c>
      <c r="M34" t="s">
        <v>45</v>
      </c>
      <c r="N34" t="s">
        <v>21</v>
      </c>
    </row>
    <row r="35" spans="1:14" x14ac:dyDescent="0.3">
      <c r="A35" t="s">
        <v>245</v>
      </c>
      <c r="B35" t="s">
        <v>15</v>
      </c>
      <c r="C35" t="s">
        <v>16</v>
      </c>
      <c r="D35">
        <v>39</v>
      </c>
      <c r="E35" t="s">
        <v>47</v>
      </c>
      <c r="F35" t="s">
        <v>48</v>
      </c>
      <c r="G35">
        <v>2</v>
      </c>
      <c r="H35">
        <v>26477</v>
      </c>
      <c r="I35">
        <v>52954</v>
      </c>
      <c r="J35">
        <v>0.05</v>
      </c>
      <c r="K35">
        <v>50306.3</v>
      </c>
      <c r="L35" t="s">
        <v>224</v>
      </c>
      <c r="M35" t="s">
        <v>27</v>
      </c>
      <c r="N35" t="s">
        <v>28</v>
      </c>
    </row>
    <row r="36" spans="1:14" x14ac:dyDescent="0.3">
      <c r="A36" t="s">
        <v>231</v>
      </c>
      <c r="B36" t="s">
        <v>66</v>
      </c>
      <c r="C36" t="s">
        <v>24</v>
      </c>
      <c r="D36">
        <v>26</v>
      </c>
      <c r="E36" t="s">
        <v>59</v>
      </c>
      <c r="F36" t="s">
        <v>48</v>
      </c>
      <c r="G36">
        <v>1</v>
      </c>
      <c r="H36">
        <v>14965</v>
      </c>
      <c r="I36">
        <v>14965</v>
      </c>
      <c r="J36">
        <v>0</v>
      </c>
      <c r="K36">
        <v>14965</v>
      </c>
      <c r="L36" t="s">
        <v>232</v>
      </c>
      <c r="M36" t="s">
        <v>36</v>
      </c>
      <c r="N36" t="s">
        <v>40</v>
      </c>
    </row>
    <row r="37" spans="1:14" x14ac:dyDescent="0.3">
      <c r="A37" t="s">
        <v>112</v>
      </c>
      <c r="B37" t="s">
        <v>76</v>
      </c>
      <c r="C37" t="s">
        <v>395</v>
      </c>
      <c r="D37">
        <v>57</v>
      </c>
      <c r="E37" t="s">
        <v>47</v>
      </c>
      <c r="F37" t="s">
        <v>48</v>
      </c>
      <c r="G37">
        <v>5</v>
      </c>
      <c r="H37">
        <v>26293</v>
      </c>
      <c r="I37">
        <v>131465</v>
      </c>
      <c r="J37">
        <v>0.05</v>
      </c>
      <c r="K37">
        <v>124891.75</v>
      </c>
      <c r="L37" t="s">
        <v>57</v>
      </c>
      <c r="M37" t="s">
        <v>20</v>
      </c>
      <c r="N37" t="s">
        <v>32</v>
      </c>
    </row>
    <row r="38" spans="1:14" x14ac:dyDescent="0.3">
      <c r="A38" t="s">
        <v>230</v>
      </c>
      <c r="B38" t="s">
        <v>51</v>
      </c>
      <c r="C38" t="s">
        <v>16</v>
      </c>
      <c r="D38">
        <v>44</v>
      </c>
      <c r="E38" t="s">
        <v>59</v>
      </c>
      <c r="F38" t="s">
        <v>48</v>
      </c>
      <c r="G38">
        <v>2</v>
      </c>
      <c r="H38">
        <v>16484</v>
      </c>
      <c r="I38">
        <v>32968</v>
      </c>
      <c r="J38">
        <v>0.1</v>
      </c>
      <c r="K38">
        <v>29671.200000000001</v>
      </c>
      <c r="L38" t="s">
        <v>52</v>
      </c>
      <c r="M38" t="s">
        <v>20</v>
      </c>
      <c r="N38" t="s">
        <v>32</v>
      </c>
    </row>
    <row r="39" spans="1:14" x14ac:dyDescent="0.3">
      <c r="A39" t="s">
        <v>207</v>
      </c>
      <c r="B39" t="s">
        <v>54</v>
      </c>
      <c r="C39" t="s">
        <v>24</v>
      </c>
      <c r="D39">
        <v>25</v>
      </c>
      <c r="E39" t="s">
        <v>59</v>
      </c>
      <c r="F39" t="s">
        <v>48</v>
      </c>
      <c r="G39">
        <v>5</v>
      </c>
      <c r="H39">
        <v>16461</v>
      </c>
      <c r="I39">
        <v>82305</v>
      </c>
      <c r="J39">
        <v>0.05</v>
      </c>
      <c r="K39">
        <v>78189.75</v>
      </c>
      <c r="L39" t="s">
        <v>208</v>
      </c>
      <c r="M39" t="s">
        <v>36</v>
      </c>
      <c r="N39" t="s">
        <v>21</v>
      </c>
    </row>
    <row r="40" spans="1:14" x14ac:dyDescent="0.3">
      <c r="A40" t="s">
        <v>204</v>
      </c>
      <c r="B40" t="s">
        <v>54</v>
      </c>
      <c r="C40" t="s">
        <v>24</v>
      </c>
      <c r="D40">
        <v>42</v>
      </c>
      <c r="E40" t="s">
        <v>47</v>
      </c>
      <c r="F40" t="s">
        <v>48</v>
      </c>
      <c r="G40">
        <v>4</v>
      </c>
      <c r="H40">
        <v>10615</v>
      </c>
      <c r="I40">
        <v>42460</v>
      </c>
      <c r="J40">
        <v>0.1</v>
      </c>
      <c r="K40">
        <v>38214</v>
      </c>
      <c r="L40" t="s">
        <v>205</v>
      </c>
      <c r="M40" t="s">
        <v>36</v>
      </c>
      <c r="N40" t="s">
        <v>40</v>
      </c>
    </row>
    <row r="41" spans="1:14" x14ac:dyDescent="0.3">
      <c r="A41" t="s">
        <v>119</v>
      </c>
      <c r="B41" t="s">
        <v>15</v>
      </c>
      <c r="C41" t="s">
        <v>394</v>
      </c>
      <c r="D41">
        <v>47</v>
      </c>
      <c r="E41" t="s">
        <v>59</v>
      </c>
      <c r="F41" t="s">
        <v>48</v>
      </c>
      <c r="G41">
        <v>1</v>
      </c>
      <c r="H41">
        <v>14298</v>
      </c>
      <c r="I41">
        <v>14298</v>
      </c>
      <c r="J41">
        <v>0.15</v>
      </c>
      <c r="K41">
        <v>12153.3</v>
      </c>
      <c r="L41" t="s">
        <v>57</v>
      </c>
      <c r="M41" t="s">
        <v>36</v>
      </c>
      <c r="N41" t="s">
        <v>28</v>
      </c>
    </row>
    <row r="42" spans="1:14" x14ac:dyDescent="0.3">
      <c r="A42" t="s">
        <v>198</v>
      </c>
      <c r="B42" t="s">
        <v>34</v>
      </c>
      <c r="C42" t="s">
        <v>16</v>
      </c>
      <c r="D42">
        <v>50</v>
      </c>
      <c r="E42" t="s">
        <v>59</v>
      </c>
      <c r="F42" t="s">
        <v>48</v>
      </c>
      <c r="G42">
        <v>3</v>
      </c>
      <c r="H42">
        <v>5337</v>
      </c>
      <c r="I42">
        <v>16011</v>
      </c>
      <c r="J42">
        <v>0.05</v>
      </c>
      <c r="K42">
        <v>15210.45</v>
      </c>
      <c r="L42" t="s">
        <v>199</v>
      </c>
      <c r="M42" t="s">
        <v>27</v>
      </c>
      <c r="N42" t="s">
        <v>21</v>
      </c>
    </row>
    <row r="43" spans="1:14" x14ac:dyDescent="0.3">
      <c r="A43" t="s">
        <v>196</v>
      </c>
      <c r="B43" t="s">
        <v>34</v>
      </c>
      <c r="C43" t="s">
        <v>16</v>
      </c>
      <c r="D43">
        <v>22</v>
      </c>
      <c r="E43" t="s">
        <v>59</v>
      </c>
      <c r="F43" t="s">
        <v>48</v>
      </c>
      <c r="G43">
        <v>4</v>
      </c>
      <c r="H43">
        <v>29874</v>
      </c>
      <c r="I43">
        <v>119496</v>
      </c>
      <c r="J43">
        <v>0</v>
      </c>
      <c r="K43">
        <v>119496</v>
      </c>
      <c r="L43" t="s">
        <v>197</v>
      </c>
      <c r="M43" t="s">
        <v>45</v>
      </c>
      <c r="N43" t="s">
        <v>40</v>
      </c>
    </row>
    <row r="44" spans="1:14" x14ac:dyDescent="0.3">
      <c r="A44" t="s">
        <v>172</v>
      </c>
      <c r="B44" t="s">
        <v>54</v>
      </c>
      <c r="C44" t="s">
        <v>24</v>
      </c>
      <c r="D44">
        <v>21</v>
      </c>
      <c r="E44" t="s">
        <v>59</v>
      </c>
      <c r="F44" t="s">
        <v>48</v>
      </c>
      <c r="G44">
        <v>1</v>
      </c>
      <c r="H44">
        <v>24388</v>
      </c>
      <c r="I44">
        <v>24388</v>
      </c>
      <c r="J44">
        <v>0.1</v>
      </c>
      <c r="K44">
        <v>21949.200000000001</v>
      </c>
      <c r="L44" t="s">
        <v>173</v>
      </c>
      <c r="M44" t="s">
        <v>20</v>
      </c>
      <c r="N44" t="s">
        <v>32</v>
      </c>
    </row>
    <row r="45" spans="1:14" x14ac:dyDescent="0.3">
      <c r="A45" t="s">
        <v>125</v>
      </c>
      <c r="B45" t="s">
        <v>15</v>
      </c>
      <c r="C45" t="s">
        <v>16</v>
      </c>
      <c r="D45">
        <v>26</v>
      </c>
      <c r="E45" t="s">
        <v>47</v>
      </c>
      <c r="F45" t="s">
        <v>48</v>
      </c>
      <c r="G45">
        <v>5</v>
      </c>
      <c r="H45">
        <v>13870</v>
      </c>
      <c r="I45">
        <v>69350</v>
      </c>
      <c r="J45">
        <v>0.1</v>
      </c>
      <c r="K45">
        <v>62415</v>
      </c>
      <c r="L45" t="s">
        <v>126</v>
      </c>
      <c r="M45" t="s">
        <v>45</v>
      </c>
      <c r="N45" t="s">
        <v>28</v>
      </c>
    </row>
    <row r="46" spans="1:14" x14ac:dyDescent="0.3">
      <c r="A46" t="s">
        <v>169</v>
      </c>
      <c r="B46" t="s">
        <v>81</v>
      </c>
      <c r="C46" t="s">
        <v>24</v>
      </c>
      <c r="D46">
        <v>19</v>
      </c>
      <c r="E46" t="s">
        <v>47</v>
      </c>
      <c r="F46" t="s">
        <v>48</v>
      </c>
      <c r="G46">
        <v>3</v>
      </c>
      <c r="H46">
        <v>28922</v>
      </c>
      <c r="I46">
        <v>86766</v>
      </c>
      <c r="J46">
        <v>0.1</v>
      </c>
      <c r="K46">
        <v>78089.399999999994</v>
      </c>
      <c r="L46" t="s">
        <v>170</v>
      </c>
      <c r="M46" t="s">
        <v>45</v>
      </c>
      <c r="N46" t="s">
        <v>32</v>
      </c>
    </row>
    <row r="47" spans="1:14" x14ac:dyDescent="0.3">
      <c r="A47" t="s">
        <v>167</v>
      </c>
      <c r="B47" t="s">
        <v>69</v>
      </c>
      <c r="C47" t="s">
        <v>16</v>
      </c>
      <c r="D47">
        <v>36</v>
      </c>
      <c r="E47" t="s">
        <v>59</v>
      </c>
      <c r="F47" t="s">
        <v>48</v>
      </c>
      <c r="G47">
        <v>4</v>
      </c>
      <c r="H47">
        <v>26075</v>
      </c>
      <c r="I47">
        <v>104300</v>
      </c>
      <c r="J47">
        <v>0.05</v>
      </c>
      <c r="K47">
        <v>99085</v>
      </c>
      <c r="L47" t="s">
        <v>168</v>
      </c>
      <c r="M47" t="s">
        <v>20</v>
      </c>
      <c r="N47" t="s">
        <v>28</v>
      </c>
    </row>
    <row r="48" spans="1:14" x14ac:dyDescent="0.3">
      <c r="A48" t="s">
        <v>159</v>
      </c>
      <c r="B48" t="s">
        <v>34</v>
      </c>
      <c r="C48" t="s">
        <v>16</v>
      </c>
      <c r="D48">
        <v>50</v>
      </c>
      <c r="E48" t="s">
        <v>59</v>
      </c>
      <c r="F48" t="s">
        <v>48</v>
      </c>
      <c r="G48">
        <v>3</v>
      </c>
      <c r="H48">
        <v>8161</v>
      </c>
      <c r="I48">
        <v>24483</v>
      </c>
      <c r="J48">
        <v>0.2</v>
      </c>
      <c r="K48">
        <v>19586.400000000001</v>
      </c>
      <c r="L48" t="s">
        <v>160</v>
      </c>
      <c r="M48" t="s">
        <v>45</v>
      </c>
      <c r="N48" t="s">
        <v>40</v>
      </c>
    </row>
    <row r="49" spans="1:14" x14ac:dyDescent="0.3">
      <c r="A49" t="s">
        <v>137</v>
      </c>
      <c r="B49" t="s">
        <v>34</v>
      </c>
      <c r="C49" t="s">
        <v>16</v>
      </c>
      <c r="D49">
        <v>57</v>
      </c>
      <c r="E49" t="s">
        <v>59</v>
      </c>
      <c r="F49" t="s">
        <v>48</v>
      </c>
      <c r="G49">
        <v>5</v>
      </c>
      <c r="H49">
        <v>24005</v>
      </c>
      <c r="I49">
        <v>120025</v>
      </c>
      <c r="J49">
        <v>0.2</v>
      </c>
      <c r="K49">
        <v>96020</v>
      </c>
      <c r="L49" t="s">
        <v>138</v>
      </c>
      <c r="M49" t="s">
        <v>27</v>
      </c>
      <c r="N49"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07"/>
  <sheetViews>
    <sheetView showGridLines="0" zoomScale="81" zoomScaleNormal="81" workbookViewId="0">
      <selection activeCell="R42" sqref="R42"/>
    </sheetView>
  </sheetViews>
  <sheetFormatPr defaultRowHeight="14.4" x14ac:dyDescent="0.3"/>
  <sheetData>
    <row r="1" spans="1:30" ht="41.4" customHeight="1" x14ac:dyDescent="0.3">
      <c r="A1" s="78" t="s">
        <v>410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ht="15" thickBot="1" x14ac:dyDescent="0.35">
      <c r="A2" s="67"/>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row>
    <row r="3" spans="1:30" x14ac:dyDescent="0.3">
      <c r="A3" s="67"/>
      <c r="B3" s="80" t="s">
        <v>458</v>
      </c>
      <c r="C3" s="81"/>
      <c r="D3" s="81"/>
      <c r="E3" s="81"/>
      <c r="F3" s="81"/>
      <c r="G3" s="81"/>
      <c r="H3" s="81"/>
      <c r="I3" s="81"/>
      <c r="J3" s="81"/>
      <c r="K3" s="81"/>
      <c r="L3" s="81"/>
      <c r="M3" s="81"/>
      <c r="N3" s="81"/>
      <c r="O3" s="82"/>
      <c r="P3" s="67"/>
      <c r="Q3" s="86" t="s">
        <v>459</v>
      </c>
      <c r="R3" s="87"/>
      <c r="S3" s="87"/>
      <c r="T3" s="87"/>
      <c r="U3" s="87"/>
      <c r="V3" s="87"/>
      <c r="W3" s="87"/>
      <c r="X3" s="87"/>
      <c r="Y3" s="87"/>
      <c r="Z3" s="87"/>
      <c r="AA3" s="87"/>
      <c r="AB3" s="87"/>
      <c r="AC3" s="88"/>
      <c r="AD3" s="68"/>
    </row>
    <row r="4" spans="1:30" x14ac:dyDescent="0.3">
      <c r="A4" s="67"/>
      <c r="B4" s="83"/>
      <c r="C4" s="84"/>
      <c r="D4" s="84"/>
      <c r="E4" s="84"/>
      <c r="F4" s="84"/>
      <c r="G4" s="84"/>
      <c r="H4" s="84"/>
      <c r="I4" s="84"/>
      <c r="J4" s="84"/>
      <c r="K4" s="84"/>
      <c r="L4" s="84"/>
      <c r="M4" s="84"/>
      <c r="N4" s="84"/>
      <c r="O4" s="85"/>
      <c r="P4" s="67"/>
      <c r="Q4" s="89"/>
      <c r="R4" s="90"/>
      <c r="S4" s="90"/>
      <c r="T4" s="90"/>
      <c r="U4" s="90"/>
      <c r="V4" s="90"/>
      <c r="W4" s="90"/>
      <c r="X4" s="90"/>
      <c r="Y4" s="90"/>
      <c r="Z4" s="90"/>
      <c r="AA4" s="90"/>
      <c r="AB4" s="90"/>
      <c r="AC4" s="91"/>
      <c r="AD4" s="68"/>
    </row>
    <row r="5" spans="1:30" x14ac:dyDescent="0.3">
      <c r="A5" s="67"/>
      <c r="B5" s="69"/>
      <c r="C5" s="70"/>
      <c r="D5" s="70"/>
      <c r="E5" s="70"/>
      <c r="F5" s="70"/>
      <c r="G5" s="70"/>
      <c r="H5" s="70"/>
      <c r="I5" s="70"/>
      <c r="J5" s="70"/>
      <c r="K5" s="70"/>
      <c r="L5" s="70"/>
      <c r="M5" s="70"/>
      <c r="N5" s="70"/>
      <c r="O5" s="71"/>
      <c r="P5" s="67"/>
      <c r="Q5" s="72"/>
      <c r="R5" s="73"/>
      <c r="S5" s="73"/>
      <c r="T5" s="73"/>
      <c r="U5" s="73"/>
      <c r="V5" s="73"/>
      <c r="W5" s="73"/>
      <c r="X5" s="73"/>
      <c r="Y5" s="73"/>
      <c r="Z5" s="73"/>
      <c r="AA5" s="73"/>
      <c r="AB5" s="73"/>
      <c r="AC5" s="74"/>
      <c r="AD5" s="67"/>
    </row>
    <row r="6" spans="1:30" x14ac:dyDescent="0.3">
      <c r="A6" s="67"/>
      <c r="B6" s="72"/>
      <c r="C6" s="73"/>
      <c r="D6" s="73"/>
      <c r="E6" s="73"/>
      <c r="F6" s="73"/>
      <c r="G6" s="73"/>
      <c r="H6" s="73"/>
      <c r="I6" s="73"/>
      <c r="J6" s="73"/>
      <c r="K6" s="73"/>
      <c r="L6" s="73"/>
      <c r="M6" s="73"/>
      <c r="N6" s="73"/>
      <c r="O6" s="74"/>
      <c r="P6" s="67"/>
      <c r="Q6" s="72"/>
      <c r="R6" s="73"/>
      <c r="S6" s="73"/>
      <c r="T6" s="73"/>
      <c r="U6" s="73"/>
      <c r="V6" s="73"/>
      <c r="W6" s="73"/>
      <c r="X6" s="73"/>
      <c r="Y6" s="73"/>
      <c r="Z6" s="73"/>
      <c r="AA6" s="73"/>
      <c r="AB6" s="73"/>
      <c r="AC6" s="74"/>
      <c r="AD6" s="67"/>
    </row>
    <row r="7" spans="1:30" x14ac:dyDescent="0.3">
      <c r="A7" s="67"/>
      <c r="B7" s="72"/>
      <c r="C7" s="73"/>
      <c r="D7" s="73"/>
      <c r="E7" s="73"/>
      <c r="F7" s="73"/>
      <c r="G7" s="73"/>
      <c r="H7" s="73"/>
      <c r="I7" s="73"/>
      <c r="J7" s="73"/>
      <c r="K7" s="73"/>
      <c r="L7" s="73"/>
      <c r="M7" s="73"/>
      <c r="N7" s="73"/>
      <c r="O7" s="74"/>
      <c r="P7" s="67"/>
      <c r="Q7" s="72"/>
      <c r="R7" s="73"/>
      <c r="S7" s="73"/>
      <c r="T7" s="73"/>
      <c r="U7" s="73"/>
      <c r="V7" s="73"/>
      <c r="W7" s="73"/>
      <c r="X7" s="73"/>
      <c r="Y7" s="73"/>
      <c r="Z7" s="73"/>
      <c r="AA7" s="73"/>
      <c r="AB7" s="73"/>
      <c r="AC7" s="74"/>
      <c r="AD7" s="67"/>
    </row>
    <row r="8" spans="1:30" x14ac:dyDescent="0.3">
      <c r="A8" s="67"/>
      <c r="B8" s="72"/>
      <c r="C8" s="73"/>
      <c r="D8" s="73"/>
      <c r="E8" s="73"/>
      <c r="F8" s="73"/>
      <c r="G8" s="73"/>
      <c r="H8" s="73"/>
      <c r="I8" s="73"/>
      <c r="J8" s="73"/>
      <c r="K8" s="73"/>
      <c r="L8" s="73"/>
      <c r="M8" s="73"/>
      <c r="N8" s="73"/>
      <c r="O8" s="74"/>
      <c r="P8" s="67"/>
      <c r="Q8" s="72"/>
      <c r="R8" s="73"/>
      <c r="S8" s="73"/>
      <c r="T8" s="73"/>
      <c r="U8" s="73"/>
      <c r="V8" s="73"/>
      <c r="W8" s="73"/>
      <c r="X8" s="73"/>
      <c r="Y8" s="73"/>
      <c r="Z8" s="73"/>
      <c r="AA8" s="73"/>
      <c r="AB8" s="73"/>
      <c r="AC8" s="74"/>
      <c r="AD8" s="67"/>
    </row>
    <row r="9" spans="1:30" x14ac:dyDescent="0.3">
      <c r="A9" s="67"/>
      <c r="B9" s="72"/>
      <c r="C9" s="73"/>
      <c r="D9" s="73"/>
      <c r="E9" s="73"/>
      <c r="F9" s="73"/>
      <c r="G9" s="73"/>
      <c r="H9" s="73"/>
      <c r="I9" s="73"/>
      <c r="J9" s="73"/>
      <c r="K9" s="73"/>
      <c r="L9" s="73"/>
      <c r="M9" s="73"/>
      <c r="N9" s="73"/>
      <c r="O9" s="74"/>
      <c r="P9" s="67"/>
      <c r="Q9" s="72"/>
      <c r="R9" s="73"/>
      <c r="S9" s="73"/>
      <c r="T9" s="73"/>
      <c r="U9" s="73"/>
      <c r="V9" s="73"/>
      <c r="W9" s="73"/>
      <c r="X9" s="73"/>
      <c r="Y9" s="73"/>
      <c r="Z9" s="73"/>
      <c r="AA9" s="73"/>
      <c r="AB9" s="73"/>
      <c r="AC9" s="74"/>
      <c r="AD9" s="67"/>
    </row>
    <row r="10" spans="1:30" x14ac:dyDescent="0.3">
      <c r="A10" s="67"/>
      <c r="B10" s="72"/>
      <c r="C10" s="73"/>
      <c r="D10" s="73"/>
      <c r="E10" s="73"/>
      <c r="F10" s="73"/>
      <c r="G10" s="73"/>
      <c r="H10" s="73"/>
      <c r="I10" s="73"/>
      <c r="J10" s="73"/>
      <c r="K10" s="73"/>
      <c r="L10" s="73"/>
      <c r="M10" s="73"/>
      <c r="N10" s="73"/>
      <c r="O10" s="74"/>
      <c r="P10" s="67"/>
      <c r="Q10" s="72"/>
      <c r="R10" s="73"/>
      <c r="S10" s="73"/>
      <c r="T10" s="73"/>
      <c r="U10" s="73"/>
      <c r="V10" s="73"/>
      <c r="W10" s="73"/>
      <c r="X10" s="73"/>
      <c r="Y10" s="73"/>
      <c r="Z10" s="73"/>
      <c r="AA10" s="73"/>
      <c r="AB10" s="73"/>
      <c r="AC10" s="74"/>
      <c r="AD10" s="67"/>
    </row>
    <row r="11" spans="1:30" x14ac:dyDescent="0.3">
      <c r="A11" s="67"/>
      <c r="B11" s="72"/>
      <c r="C11" s="73"/>
      <c r="D11" s="73"/>
      <c r="E11" s="73"/>
      <c r="F11" s="73"/>
      <c r="G11" s="73"/>
      <c r="H11" s="73"/>
      <c r="I11" s="73"/>
      <c r="J11" s="73"/>
      <c r="K11" s="73"/>
      <c r="L11" s="73"/>
      <c r="M11" s="73"/>
      <c r="N11" s="73"/>
      <c r="O11" s="74"/>
      <c r="P11" s="67"/>
      <c r="Q11" s="72"/>
      <c r="R11" s="73"/>
      <c r="S11" s="73"/>
      <c r="T11" s="73"/>
      <c r="U11" s="73"/>
      <c r="V11" s="73"/>
      <c r="W11" s="73"/>
      <c r="X11" s="73"/>
      <c r="Y11" s="73"/>
      <c r="Z11" s="73"/>
      <c r="AA11" s="73"/>
      <c r="AB11" s="73"/>
      <c r="AC11" s="74"/>
      <c r="AD11" s="67"/>
    </row>
    <row r="12" spans="1:30" x14ac:dyDescent="0.3">
      <c r="A12" s="67"/>
      <c r="B12" s="72"/>
      <c r="C12" s="73"/>
      <c r="D12" s="73"/>
      <c r="E12" s="73"/>
      <c r="F12" s="73"/>
      <c r="G12" s="73"/>
      <c r="H12" s="73"/>
      <c r="I12" s="73"/>
      <c r="J12" s="73"/>
      <c r="K12" s="73"/>
      <c r="L12" s="73"/>
      <c r="M12" s="73"/>
      <c r="N12" s="73"/>
      <c r="O12" s="74"/>
      <c r="P12" s="67"/>
      <c r="Q12" s="72"/>
      <c r="R12" s="73"/>
      <c r="S12" s="73"/>
      <c r="T12" s="73"/>
      <c r="U12" s="73"/>
      <c r="V12" s="73"/>
      <c r="W12" s="73"/>
      <c r="X12" s="73"/>
      <c r="Y12" s="73"/>
      <c r="Z12" s="73"/>
      <c r="AA12" s="73"/>
      <c r="AB12" s="73"/>
      <c r="AC12" s="74"/>
      <c r="AD12" s="67"/>
    </row>
    <row r="13" spans="1:30" x14ac:dyDescent="0.3">
      <c r="A13" s="67"/>
      <c r="B13" s="72"/>
      <c r="C13" s="73"/>
      <c r="D13" s="73"/>
      <c r="E13" s="73"/>
      <c r="F13" s="73"/>
      <c r="G13" s="73"/>
      <c r="H13" s="73"/>
      <c r="I13" s="73"/>
      <c r="J13" s="73"/>
      <c r="K13" s="73"/>
      <c r="L13" s="73"/>
      <c r="M13" s="73"/>
      <c r="N13" s="73"/>
      <c r="O13" s="74"/>
      <c r="P13" s="67"/>
      <c r="Q13" s="72"/>
      <c r="R13" s="73"/>
      <c r="S13" s="73"/>
      <c r="T13" s="73"/>
      <c r="U13" s="73"/>
      <c r="V13" s="73"/>
      <c r="W13" s="73"/>
      <c r="X13" s="73"/>
      <c r="Y13" s="73"/>
      <c r="Z13" s="73"/>
      <c r="AA13" s="73"/>
      <c r="AB13" s="73"/>
      <c r="AC13" s="74"/>
      <c r="AD13" s="67"/>
    </row>
    <row r="14" spans="1:30" x14ac:dyDescent="0.3">
      <c r="A14" s="67"/>
      <c r="B14" s="72"/>
      <c r="C14" s="73"/>
      <c r="D14" s="73"/>
      <c r="E14" s="73"/>
      <c r="F14" s="73"/>
      <c r="G14" s="73"/>
      <c r="H14" s="73"/>
      <c r="I14" s="73"/>
      <c r="J14" s="73"/>
      <c r="K14" s="73"/>
      <c r="L14" s="73"/>
      <c r="M14" s="73"/>
      <c r="N14" s="73"/>
      <c r="O14" s="74"/>
      <c r="P14" s="67"/>
      <c r="Q14" s="72"/>
      <c r="R14" s="73"/>
      <c r="S14" s="73"/>
      <c r="T14" s="73"/>
      <c r="U14" s="73"/>
      <c r="V14" s="73"/>
      <c r="W14" s="73"/>
      <c r="X14" s="73"/>
      <c r="Y14" s="73"/>
      <c r="Z14" s="73"/>
      <c r="AA14" s="73"/>
      <c r="AB14" s="73"/>
      <c r="AC14" s="74"/>
      <c r="AD14" s="67"/>
    </row>
    <row r="15" spans="1:30" x14ac:dyDescent="0.3">
      <c r="A15" s="67"/>
      <c r="B15" s="72"/>
      <c r="C15" s="73"/>
      <c r="D15" s="73"/>
      <c r="E15" s="73"/>
      <c r="F15" s="73"/>
      <c r="G15" s="73"/>
      <c r="H15" s="73"/>
      <c r="I15" s="73"/>
      <c r="J15" s="73"/>
      <c r="K15" s="73"/>
      <c r="L15" s="73"/>
      <c r="M15" s="73"/>
      <c r="N15" s="73"/>
      <c r="O15" s="74"/>
      <c r="P15" s="67"/>
      <c r="Q15" s="72"/>
      <c r="R15" s="73"/>
      <c r="S15" s="73"/>
      <c r="T15" s="73"/>
      <c r="U15" s="73"/>
      <c r="V15" s="73"/>
      <c r="W15" s="73"/>
      <c r="X15" s="73"/>
      <c r="Y15" s="73"/>
      <c r="Z15" s="73"/>
      <c r="AA15" s="73"/>
      <c r="AB15" s="73"/>
      <c r="AC15" s="74"/>
      <c r="AD15" s="67"/>
    </row>
    <row r="16" spans="1:30" x14ac:dyDescent="0.3">
      <c r="A16" s="67"/>
      <c r="B16" s="72"/>
      <c r="C16" s="73"/>
      <c r="D16" s="73"/>
      <c r="E16" s="73"/>
      <c r="F16" s="73"/>
      <c r="G16" s="73"/>
      <c r="H16" s="73"/>
      <c r="I16" s="73"/>
      <c r="J16" s="73"/>
      <c r="K16" s="73"/>
      <c r="L16" s="73"/>
      <c r="M16" s="73"/>
      <c r="N16" s="73"/>
      <c r="O16" s="74"/>
      <c r="P16" s="67"/>
      <c r="Q16" s="72"/>
      <c r="R16" s="73"/>
      <c r="S16" s="73"/>
      <c r="T16" s="73"/>
      <c r="U16" s="73"/>
      <c r="V16" s="73"/>
      <c r="W16" s="73"/>
      <c r="X16" s="73"/>
      <c r="Y16" s="73"/>
      <c r="Z16" s="73"/>
      <c r="AA16" s="73"/>
      <c r="AB16" s="73"/>
      <c r="AC16" s="74"/>
      <c r="AD16" s="67"/>
    </row>
    <row r="17" spans="1:30" x14ac:dyDescent="0.3">
      <c r="A17" s="67"/>
      <c r="B17" s="72"/>
      <c r="C17" s="73"/>
      <c r="D17" s="73"/>
      <c r="E17" s="73"/>
      <c r="F17" s="73"/>
      <c r="G17" s="73"/>
      <c r="H17" s="73"/>
      <c r="I17" s="73"/>
      <c r="J17" s="73"/>
      <c r="K17" s="73"/>
      <c r="L17" s="73"/>
      <c r="M17" s="73"/>
      <c r="N17" s="73"/>
      <c r="O17" s="74"/>
      <c r="P17" s="67"/>
      <c r="Q17" s="72"/>
      <c r="R17" s="73"/>
      <c r="S17" s="73"/>
      <c r="T17" s="73"/>
      <c r="U17" s="73"/>
      <c r="V17" s="73"/>
      <c r="W17" s="73"/>
      <c r="X17" s="73"/>
      <c r="Y17" s="73"/>
      <c r="Z17" s="73"/>
      <c r="AA17" s="73"/>
      <c r="AB17" s="73"/>
      <c r="AC17" s="74"/>
      <c r="AD17" s="67"/>
    </row>
    <row r="18" spans="1:30" x14ac:dyDescent="0.3">
      <c r="A18" s="67"/>
      <c r="B18" s="72"/>
      <c r="C18" s="73"/>
      <c r="D18" s="73"/>
      <c r="E18" s="73"/>
      <c r="F18" s="73"/>
      <c r="G18" s="73"/>
      <c r="H18" s="73"/>
      <c r="I18" s="73"/>
      <c r="J18" s="73"/>
      <c r="K18" s="73"/>
      <c r="L18" s="73"/>
      <c r="M18" s="73"/>
      <c r="N18" s="73"/>
      <c r="O18" s="74"/>
      <c r="P18" s="67"/>
      <c r="Q18" s="72"/>
      <c r="R18" s="73"/>
      <c r="S18" s="73"/>
      <c r="T18" s="73"/>
      <c r="U18" s="73"/>
      <c r="V18" s="73"/>
      <c r="W18" s="73"/>
      <c r="X18" s="73"/>
      <c r="Y18" s="73"/>
      <c r="Z18" s="73"/>
      <c r="AA18" s="73"/>
      <c r="AB18" s="73"/>
      <c r="AC18" s="74"/>
      <c r="AD18" s="67"/>
    </row>
    <row r="19" spans="1:30" x14ac:dyDescent="0.3">
      <c r="A19" s="67"/>
      <c r="B19" s="72"/>
      <c r="C19" s="73"/>
      <c r="D19" s="73"/>
      <c r="E19" s="73"/>
      <c r="F19" s="73"/>
      <c r="G19" s="73"/>
      <c r="H19" s="73"/>
      <c r="I19" s="73"/>
      <c r="J19" s="73"/>
      <c r="K19" s="73"/>
      <c r="L19" s="73"/>
      <c r="M19" s="73"/>
      <c r="N19" s="73"/>
      <c r="O19" s="74"/>
      <c r="P19" s="67"/>
      <c r="Q19" s="72"/>
      <c r="R19" s="73"/>
      <c r="S19" s="73"/>
      <c r="T19" s="73"/>
      <c r="U19" s="73"/>
      <c r="V19" s="73"/>
      <c r="W19" s="73"/>
      <c r="X19" s="73"/>
      <c r="Y19" s="73"/>
      <c r="Z19" s="73"/>
      <c r="AA19" s="73"/>
      <c r="AB19" s="73"/>
      <c r="AC19" s="74"/>
      <c r="AD19" s="67"/>
    </row>
    <row r="20" spans="1:30" x14ac:dyDescent="0.3">
      <c r="A20" s="67"/>
      <c r="B20" s="72"/>
      <c r="C20" s="73"/>
      <c r="D20" s="73"/>
      <c r="E20" s="73"/>
      <c r="F20" s="73"/>
      <c r="G20" s="73"/>
      <c r="H20" s="73"/>
      <c r="I20" s="73"/>
      <c r="J20" s="73"/>
      <c r="K20" s="73"/>
      <c r="L20" s="73"/>
      <c r="M20" s="73"/>
      <c r="N20" s="73"/>
      <c r="O20" s="74"/>
      <c r="P20" s="67"/>
      <c r="Q20" s="72"/>
      <c r="R20" s="73"/>
      <c r="S20" s="73"/>
      <c r="T20" s="73"/>
      <c r="U20" s="73"/>
      <c r="V20" s="73"/>
      <c r="W20" s="73"/>
      <c r="X20" s="73"/>
      <c r="Y20" s="73"/>
      <c r="Z20" s="73"/>
      <c r="AA20" s="73"/>
      <c r="AB20" s="73"/>
      <c r="AC20" s="74"/>
      <c r="AD20" s="67"/>
    </row>
    <row r="21" spans="1:30" x14ac:dyDescent="0.3">
      <c r="A21" s="67"/>
      <c r="B21" s="72"/>
      <c r="C21" s="73"/>
      <c r="D21" s="73"/>
      <c r="E21" s="73"/>
      <c r="F21" s="73"/>
      <c r="G21" s="73"/>
      <c r="H21" s="73"/>
      <c r="I21" s="73"/>
      <c r="J21" s="73"/>
      <c r="K21" s="73"/>
      <c r="L21" s="73"/>
      <c r="M21" s="73"/>
      <c r="N21" s="73"/>
      <c r="O21" s="74"/>
      <c r="P21" s="67"/>
      <c r="Q21" s="72"/>
      <c r="R21" s="73"/>
      <c r="S21" s="73"/>
      <c r="T21" s="73"/>
      <c r="U21" s="73"/>
      <c r="V21" s="73"/>
      <c r="W21" s="73"/>
      <c r="X21" s="73"/>
      <c r="Y21" s="73"/>
      <c r="Z21" s="73"/>
      <c r="AA21" s="73"/>
      <c r="AB21" s="73"/>
      <c r="AC21" s="74"/>
      <c r="AD21" s="67"/>
    </row>
    <row r="22" spans="1:30" x14ac:dyDescent="0.3">
      <c r="A22" s="67"/>
      <c r="B22" s="72"/>
      <c r="C22" s="73"/>
      <c r="D22" s="73"/>
      <c r="E22" s="73"/>
      <c r="F22" s="73"/>
      <c r="G22" s="73"/>
      <c r="H22" s="73"/>
      <c r="I22" s="73"/>
      <c r="J22" s="73"/>
      <c r="K22" s="73"/>
      <c r="L22" s="73"/>
      <c r="M22" s="73"/>
      <c r="N22" s="73"/>
      <c r="O22" s="74"/>
      <c r="P22" s="67"/>
      <c r="Q22" s="72"/>
      <c r="R22" s="73"/>
      <c r="S22" s="73"/>
      <c r="T22" s="73"/>
      <c r="U22" s="73"/>
      <c r="V22" s="73"/>
      <c r="W22" s="73"/>
      <c r="X22" s="73"/>
      <c r="Y22" s="73"/>
      <c r="Z22" s="73"/>
      <c r="AA22" s="73"/>
      <c r="AB22" s="73"/>
      <c r="AC22" s="74"/>
      <c r="AD22" s="67"/>
    </row>
    <row r="23" spans="1:30" x14ac:dyDescent="0.3">
      <c r="A23" s="67"/>
      <c r="B23" s="72"/>
      <c r="C23" s="73"/>
      <c r="D23" s="73"/>
      <c r="E23" s="73"/>
      <c r="F23" s="73"/>
      <c r="G23" s="73"/>
      <c r="H23" s="73"/>
      <c r="I23" s="73"/>
      <c r="J23" s="73"/>
      <c r="K23" s="73"/>
      <c r="L23" s="73"/>
      <c r="M23" s="73"/>
      <c r="N23" s="73"/>
      <c r="O23" s="74"/>
      <c r="P23" s="67"/>
      <c r="Q23" s="72"/>
      <c r="R23" s="73"/>
      <c r="S23" s="73"/>
      <c r="T23" s="73"/>
      <c r="U23" s="73"/>
      <c r="V23" s="73"/>
      <c r="W23" s="73"/>
      <c r="X23" s="73"/>
      <c r="Y23" s="73"/>
      <c r="Z23" s="73"/>
      <c r="AA23" s="73"/>
      <c r="AB23" s="73"/>
      <c r="AC23" s="74"/>
      <c r="AD23" s="67"/>
    </row>
    <row r="24" spans="1:30" x14ac:dyDescent="0.3">
      <c r="A24" s="67"/>
      <c r="B24" s="72"/>
      <c r="C24" s="73"/>
      <c r="D24" s="73"/>
      <c r="E24" s="73"/>
      <c r="F24" s="73"/>
      <c r="G24" s="73"/>
      <c r="H24" s="73"/>
      <c r="I24" s="73"/>
      <c r="J24" s="73"/>
      <c r="K24" s="73"/>
      <c r="L24" s="73"/>
      <c r="M24" s="73"/>
      <c r="N24" s="73"/>
      <c r="O24" s="74"/>
      <c r="P24" s="67"/>
      <c r="Q24" s="72"/>
      <c r="R24" s="73"/>
      <c r="S24" s="73"/>
      <c r="T24" s="73"/>
      <c r="U24" s="73"/>
      <c r="V24" s="73"/>
      <c r="W24" s="73"/>
      <c r="X24" s="73"/>
      <c r="Y24" s="73"/>
      <c r="Z24" s="73"/>
      <c r="AA24" s="73"/>
      <c r="AB24" s="73"/>
      <c r="AC24" s="74"/>
      <c r="AD24" s="67"/>
    </row>
    <row r="25" spans="1:30" ht="15" thickBot="1" x14ac:dyDescent="0.35">
      <c r="A25" s="67"/>
      <c r="B25" s="75"/>
      <c r="C25" s="76"/>
      <c r="D25" s="76"/>
      <c r="E25" s="76"/>
      <c r="F25" s="76"/>
      <c r="G25" s="76"/>
      <c r="H25" s="76"/>
      <c r="I25" s="76"/>
      <c r="J25" s="76"/>
      <c r="K25" s="76"/>
      <c r="L25" s="76"/>
      <c r="M25" s="76"/>
      <c r="N25" s="76"/>
      <c r="O25" s="77"/>
      <c r="P25" s="67"/>
      <c r="Q25" s="75"/>
      <c r="R25" s="76"/>
      <c r="S25" s="76"/>
      <c r="T25" s="76"/>
      <c r="U25" s="76"/>
      <c r="V25" s="76"/>
      <c r="W25" s="76"/>
      <c r="X25" s="76"/>
      <c r="Y25" s="76"/>
      <c r="Z25" s="76"/>
      <c r="AA25" s="76"/>
      <c r="AB25" s="76"/>
      <c r="AC25" s="77"/>
      <c r="AD25" s="67"/>
    </row>
    <row r="26" spans="1:30" ht="15" thickBot="1" x14ac:dyDescent="0.35">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row>
    <row r="27" spans="1:30" x14ac:dyDescent="0.3">
      <c r="A27" s="67"/>
      <c r="B27" s="80" t="s">
        <v>460</v>
      </c>
      <c r="C27" s="92"/>
      <c r="D27" s="92"/>
      <c r="E27" s="92"/>
      <c r="F27" s="92"/>
      <c r="G27" s="92"/>
      <c r="H27" s="92"/>
      <c r="I27" s="92"/>
      <c r="J27" s="92"/>
      <c r="K27" s="92"/>
      <c r="L27" s="92"/>
      <c r="M27" s="92"/>
      <c r="N27" s="92"/>
      <c r="O27" s="93"/>
      <c r="P27" s="67"/>
      <c r="Q27" s="97" t="s">
        <v>461</v>
      </c>
      <c r="R27" s="98"/>
      <c r="S27" s="98"/>
      <c r="T27" s="98"/>
      <c r="U27" s="98"/>
      <c r="V27" s="98"/>
      <c r="W27" s="98"/>
      <c r="X27" s="98"/>
      <c r="Y27" s="98"/>
      <c r="Z27" s="98"/>
      <c r="AA27" s="98"/>
      <c r="AB27" s="98"/>
      <c r="AC27" s="99"/>
      <c r="AD27" s="67"/>
    </row>
    <row r="28" spans="1:30" x14ac:dyDescent="0.3">
      <c r="A28" s="67"/>
      <c r="B28" s="94"/>
      <c r="C28" s="95"/>
      <c r="D28" s="95"/>
      <c r="E28" s="95"/>
      <c r="F28" s="95"/>
      <c r="G28" s="95"/>
      <c r="H28" s="95"/>
      <c r="I28" s="95"/>
      <c r="J28" s="95"/>
      <c r="K28" s="95"/>
      <c r="L28" s="95"/>
      <c r="M28" s="95"/>
      <c r="N28" s="95"/>
      <c r="O28" s="96"/>
      <c r="P28" s="67"/>
      <c r="Q28" s="100"/>
      <c r="R28" s="101"/>
      <c r="S28" s="101"/>
      <c r="T28" s="101"/>
      <c r="U28" s="101"/>
      <c r="V28" s="101"/>
      <c r="W28" s="101"/>
      <c r="X28" s="101"/>
      <c r="Y28" s="101"/>
      <c r="Z28" s="101"/>
      <c r="AA28" s="101"/>
      <c r="AB28" s="101"/>
      <c r="AC28" s="102"/>
      <c r="AD28" s="67"/>
    </row>
    <row r="29" spans="1:30" x14ac:dyDescent="0.3">
      <c r="A29" s="67"/>
      <c r="B29" s="72"/>
      <c r="C29" s="73"/>
      <c r="D29" s="73"/>
      <c r="E29" s="73"/>
      <c r="F29" s="73"/>
      <c r="G29" s="73"/>
      <c r="H29" s="73"/>
      <c r="I29" s="73"/>
      <c r="J29" s="73"/>
      <c r="K29" s="73"/>
      <c r="L29" s="73"/>
      <c r="M29" s="73"/>
      <c r="N29" s="73"/>
      <c r="O29" s="74"/>
      <c r="P29" s="67"/>
      <c r="Q29" s="72"/>
      <c r="R29" s="73"/>
      <c r="S29" s="73"/>
      <c r="T29" s="73"/>
      <c r="U29" s="73"/>
      <c r="V29" s="73"/>
      <c r="W29" s="73"/>
      <c r="X29" s="73"/>
      <c r="Y29" s="73"/>
      <c r="Z29" s="73"/>
      <c r="AA29" s="73"/>
      <c r="AB29" s="73"/>
      <c r="AC29" s="74"/>
      <c r="AD29" s="67"/>
    </row>
    <row r="30" spans="1:30" x14ac:dyDescent="0.3">
      <c r="A30" s="67"/>
      <c r="B30" s="72"/>
      <c r="C30" s="73"/>
      <c r="D30" s="73"/>
      <c r="E30" s="73"/>
      <c r="F30" s="73"/>
      <c r="G30" s="73"/>
      <c r="H30" s="73"/>
      <c r="I30" s="73"/>
      <c r="J30" s="73"/>
      <c r="K30" s="73"/>
      <c r="L30" s="73"/>
      <c r="M30" s="73"/>
      <c r="N30" s="73"/>
      <c r="O30" s="74"/>
      <c r="P30" s="67"/>
      <c r="Q30" s="72"/>
      <c r="R30" s="73"/>
      <c r="S30" s="73"/>
      <c r="T30" s="73"/>
      <c r="U30" s="73"/>
      <c r="V30" s="73"/>
      <c r="W30" s="73"/>
      <c r="X30" s="73"/>
      <c r="Y30" s="73"/>
      <c r="Z30" s="73"/>
      <c r="AA30" s="73"/>
      <c r="AB30" s="73"/>
      <c r="AC30" s="74"/>
      <c r="AD30" s="67"/>
    </row>
    <row r="31" spans="1:30" x14ac:dyDescent="0.3">
      <c r="A31" s="67"/>
      <c r="B31" s="72"/>
      <c r="C31" s="73"/>
      <c r="D31" s="73"/>
      <c r="E31" s="73"/>
      <c r="F31" s="73"/>
      <c r="G31" s="73"/>
      <c r="H31" s="73"/>
      <c r="I31" s="73"/>
      <c r="J31" s="73"/>
      <c r="K31" s="73"/>
      <c r="L31" s="73"/>
      <c r="M31" s="73"/>
      <c r="N31" s="73"/>
      <c r="O31" s="74"/>
      <c r="P31" s="67"/>
      <c r="Q31" s="72"/>
      <c r="R31" s="73"/>
      <c r="S31" s="73"/>
      <c r="T31" s="73"/>
      <c r="U31" s="73"/>
      <c r="V31" s="73"/>
      <c r="W31" s="73"/>
      <c r="X31" s="73"/>
      <c r="Y31" s="73"/>
      <c r="Z31" s="73"/>
      <c r="AA31" s="73"/>
      <c r="AB31" s="73"/>
      <c r="AC31" s="74"/>
      <c r="AD31" s="67"/>
    </row>
    <row r="32" spans="1:30" x14ac:dyDescent="0.3">
      <c r="A32" s="67"/>
      <c r="B32" s="72"/>
      <c r="C32" s="73"/>
      <c r="D32" s="73"/>
      <c r="E32" s="73"/>
      <c r="F32" s="73"/>
      <c r="G32" s="73"/>
      <c r="H32" s="73"/>
      <c r="I32" s="73"/>
      <c r="J32" s="73"/>
      <c r="K32" s="73"/>
      <c r="L32" s="73"/>
      <c r="M32" s="73"/>
      <c r="N32" s="73"/>
      <c r="O32" s="74"/>
      <c r="P32" s="67"/>
      <c r="Q32" s="72"/>
      <c r="R32" s="73"/>
      <c r="S32" s="73"/>
      <c r="T32" s="73"/>
      <c r="U32" s="73"/>
      <c r="V32" s="73"/>
      <c r="W32" s="73"/>
      <c r="X32" s="73"/>
      <c r="Y32" s="73"/>
      <c r="Z32" s="73"/>
      <c r="AA32" s="73"/>
      <c r="AB32" s="73"/>
      <c r="AC32" s="74"/>
      <c r="AD32" s="67"/>
    </row>
    <row r="33" spans="1:30" x14ac:dyDescent="0.3">
      <c r="A33" s="67"/>
      <c r="B33" s="72"/>
      <c r="C33" s="73"/>
      <c r="D33" s="73"/>
      <c r="E33" s="73"/>
      <c r="F33" s="73"/>
      <c r="G33" s="73"/>
      <c r="H33" s="73"/>
      <c r="I33" s="73"/>
      <c r="J33" s="73"/>
      <c r="K33" s="73"/>
      <c r="L33" s="73"/>
      <c r="M33" s="73"/>
      <c r="N33" s="73"/>
      <c r="O33" s="74"/>
      <c r="P33" s="67"/>
      <c r="Q33" s="72"/>
      <c r="R33" s="73"/>
      <c r="S33" s="73"/>
      <c r="T33" s="73"/>
      <c r="U33" s="73"/>
      <c r="V33" s="73"/>
      <c r="W33" s="73"/>
      <c r="X33" s="73"/>
      <c r="Y33" s="73"/>
      <c r="Z33" s="73"/>
      <c r="AA33" s="73"/>
      <c r="AB33" s="73"/>
      <c r="AC33" s="74"/>
      <c r="AD33" s="67"/>
    </row>
    <row r="34" spans="1:30" x14ac:dyDescent="0.3">
      <c r="A34" s="67"/>
      <c r="B34" s="72"/>
      <c r="C34" s="73"/>
      <c r="D34" s="73"/>
      <c r="E34" s="73"/>
      <c r="F34" s="73"/>
      <c r="G34" s="73"/>
      <c r="H34" s="73"/>
      <c r="I34" s="73"/>
      <c r="J34" s="73"/>
      <c r="K34" s="73"/>
      <c r="L34" s="73"/>
      <c r="M34" s="73"/>
      <c r="N34" s="73"/>
      <c r="O34" s="74"/>
      <c r="P34" s="67"/>
      <c r="Q34" s="72"/>
      <c r="R34" s="73"/>
      <c r="S34" s="73"/>
      <c r="T34" s="73"/>
      <c r="U34" s="73"/>
      <c r="V34" s="73"/>
      <c r="W34" s="73"/>
      <c r="X34" s="73"/>
      <c r="Y34" s="73"/>
      <c r="Z34" s="73"/>
      <c r="AA34" s="73"/>
      <c r="AB34" s="73"/>
      <c r="AC34" s="74"/>
      <c r="AD34" s="67"/>
    </row>
    <row r="35" spans="1:30" x14ac:dyDescent="0.3">
      <c r="A35" s="67"/>
      <c r="B35" s="72"/>
      <c r="C35" s="73"/>
      <c r="D35" s="73"/>
      <c r="E35" s="73"/>
      <c r="F35" s="73"/>
      <c r="G35" s="73"/>
      <c r="H35" s="73"/>
      <c r="I35" s="73"/>
      <c r="J35" s="73"/>
      <c r="K35" s="73"/>
      <c r="L35" s="73"/>
      <c r="M35" s="73"/>
      <c r="N35" s="73"/>
      <c r="O35" s="74"/>
      <c r="P35" s="67"/>
      <c r="Q35" s="72"/>
      <c r="R35" s="73"/>
      <c r="S35" s="73"/>
      <c r="T35" s="73"/>
      <c r="U35" s="73"/>
      <c r="V35" s="73"/>
      <c r="W35" s="73"/>
      <c r="X35" s="73"/>
      <c r="Y35" s="73"/>
      <c r="Z35" s="73"/>
      <c r="AA35" s="73"/>
      <c r="AB35" s="73"/>
      <c r="AC35" s="74"/>
      <c r="AD35" s="67"/>
    </row>
    <row r="36" spans="1:30" x14ac:dyDescent="0.3">
      <c r="A36" s="67"/>
      <c r="B36" s="72"/>
      <c r="C36" s="73"/>
      <c r="D36" s="73"/>
      <c r="E36" s="73"/>
      <c r="F36" s="73"/>
      <c r="G36" s="73"/>
      <c r="H36" s="73"/>
      <c r="I36" s="73"/>
      <c r="J36" s="73"/>
      <c r="K36" s="73"/>
      <c r="L36" s="73"/>
      <c r="M36" s="73"/>
      <c r="N36" s="73"/>
      <c r="O36" s="74"/>
      <c r="P36" s="67"/>
      <c r="Q36" s="72"/>
      <c r="R36" s="73"/>
      <c r="S36" s="73"/>
      <c r="T36" s="73"/>
      <c r="U36" s="73"/>
      <c r="V36" s="73"/>
      <c r="W36" s="73"/>
      <c r="X36" s="73"/>
      <c r="Y36" s="73"/>
      <c r="Z36" s="73"/>
      <c r="AA36" s="73"/>
      <c r="AB36" s="73"/>
      <c r="AC36" s="74"/>
      <c r="AD36" s="67"/>
    </row>
    <row r="37" spans="1:30" x14ac:dyDescent="0.3">
      <c r="A37" s="67"/>
      <c r="B37" s="72"/>
      <c r="C37" s="73"/>
      <c r="D37" s="73"/>
      <c r="E37" s="73"/>
      <c r="F37" s="73"/>
      <c r="G37" s="73"/>
      <c r="H37" s="73"/>
      <c r="I37" s="73"/>
      <c r="J37" s="73"/>
      <c r="K37" s="73"/>
      <c r="L37" s="73"/>
      <c r="M37" s="73"/>
      <c r="N37" s="73"/>
      <c r="O37" s="74"/>
      <c r="P37" s="67"/>
      <c r="Q37" s="72"/>
      <c r="R37" s="73"/>
      <c r="S37" s="73"/>
      <c r="T37" s="73"/>
      <c r="U37" s="73"/>
      <c r="V37" s="73"/>
      <c r="W37" s="73"/>
      <c r="X37" s="73"/>
      <c r="Y37" s="73"/>
      <c r="Z37" s="73"/>
      <c r="AA37" s="73"/>
      <c r="AB37" s="73"/>
      <c r="AC37" s="74"/>
      <c r="AD37" s="67"/>
    </row>
    <row r="38" spans="1:30" x14ac:dyDescent="0.3">
      <c r="A38" s="67"/>
      <c r="B38" s="72"/>
      <c r="C38" s="73"/>
      <c r="D38" s="73"/>
      <c r="E38" s="73"/>
      <c r="F38" s="73"/>
      <c r="G38" s="73"/>
      <c r="H38" s="73"/>
      <c r="I38" s="73"/>
      <c r="J38" s="73"/>
      <c r="K38" s="73"/>
      <c r="L38" s="73"/>
      <c r="M38" s="73"/>
      <c r="N38" s="73"/>
      <c r="O38" s="74"/>
      <c r="P38" s="67"/>
      <c r="Q38" s="72"/>
      <c r="R38" s="73"/>
      <c r="S38" s="73"/>
      <c r="T38" s="73"/>
      <c r="U38" s="73"/>
      <c r="V38" s="73"/>
      <c r="W38" s="73"/>
      <c r="X38" s="73"/>
      <c r="Y38" s="73"/>
      <c r="Z38" s="73"/>
      <c r="AA38" s="73"/>
      <c r="AB38" s="73"/>
      <c r="AC38" s="74"/>
      <c r="AD38" s="67"/>
    </row>
    <row r="39" spans="1:30" x14ac:dyDescent="0.3">
      <c r="A39" s="67"/>
      <c r="B39" s="72"/>
      <c r="C39" s="73"/>
      <c r="D39" s="73"/>
      <c r="E39" s="73"/>
      <c r="F39" s="73"/>
      <c r="G39" s="73"/>
      <c r="H39" s="73"/>
      <c r="I39" s="73"/>
      <c r="J39" s="73"/>
      <c r="K39" s="73"/>
      <c r="L39" s="73"/>
      <c r="M39" s="73"/>
      <c r="N39" s="73"/>
      <c r="O39" s="74"/>
      <c r="P39" s="67"/>
      <c r="Q39" s="72"/>
      <c r="R39" s="73"/>
      <c r="S39" s="73"/>
      <c r="T39" s="73"/>
      <c r="U39" s="73"/>
      <c r="V39" s="73"/>
      <c r="W39" s="73"/>
      <c r="X39" s="73"/>
      <c r="Y39" s="73"/>
      <c r="Z39" s="73"/>
      <c r="AA39" s="73"/>
      <c r="AB39" s="73"/>
      <c r="AC39" s="74"/>
      <c r="AD39" s="67"/>
    </row>
    <row r="40" spans="1:30" x14ac:dyDescent="0.3">
      <c r="A40" s="67"/>
      <c r="B40" s="72"/>
      <c r="C40" s="73"/>
      <c r="D40" s="73"/>
      <c r="E40" s="73"/>
      <c r="F40" s="73"/>
      <c r="G40" s="73"/>
      <c r="H40" s="73"/>
      <c r="I40" s="73"/>
      <c r="J40" s="73"/>
      <c r="K40" s="73"/>
      <c r="L40" s="73"/>
      <c r="M40" s="73"/>
      <c r="N40" s="73"/>
      <c r="O40" s="74"/>
      <c r="P40" s="67"/>
      <c r="Q40" s="72"/>
      <c r="R40" s="73"/>
      <c r="S40" s="73"/>
      <c r="T40" s="73"/>
      <c r="U40" s="73"/>
      <c r="V40" s="73"/>
      <c r="W40" s="73"/>
      <c r="X40" s="73"/>
      <c r="Y40" s="73"/>
      <c r="Z40" s="73"/>
      <c r="AA40" s="73"/>
      <c r="AB40" s="73"/>
      <c r="AC40" s="74"/>
      <c r="AD40" s="67"/>
    </row>
    <row r="41" spans="1:30" x14ac:dyDescent="0.3">
      <c r="A41" s="67"/>
      <c r="B41" s="72"/>
      <c r="C41" s="73"/>
      <c r="D41" s="73"/>
      <c r="E41" s="73"/>
      <c r="F41" s="73"/>
      <c r="G41" s="73"/>
      <c r="H41" s="73"/>
      <c r="I41" s="73"/>
      <c r="J41" s="73"/>
      <c r="K41" s="73"/>
      <c r="L41" s="73"/>
      <c r="M41" s="73"/>
      <c r="N41" s="73"/>
      <c r="O41" s="74"/>
      <c r="P41" s="67"/>
      <c r="Q41" s="72"/>
      <c r="R41" s="73"/>
      <c r="S41" s="73"/>
      <c r="T41" s="73"/>
      <c r="U41" s="73"/>
      <c r="V41" s="73"/>
      <c r="W41" s="73"/>
      <c r="X41" s="73"/>
      <c r="Y41" s="73"/>
      <c r="Z41" s="73"/>
      <c r="AA41" s="73"/>
      <c r="AB41" s="73"/>
      <c r="AC41" s="74"/>
      <c r="AD41" s="67"/>
    </row>
    <row r="42" spans="1:30" x14ac:dyDescent="0.3">
      <c r="A42" s="67"/>
      <c r="B42" s="72"/>
      <c r="C42" s="73"/>
      <c r="D42" s="73"/>
      <c r="E42" s="73"/>
      <c r="F42" s="73"/>
      <c r="G42" s="73"/>
      <c r="H42" s="73"/>
      <c r="I42" s="73"/>
      <c r="J42" s="73"/>
      <c r="K42" s="73"/>
      <c r="L42" s="73"/>
      <c r="M42" s="73"/>
      <c r="N42" s="73"/>
      <c r="O42" s="74"/>
      <c r="P42" s="67"/>
      <c r="Q42" s="72"/>
      <c r="R42" s="73"/>
      <c r="S42" s="73"/>
      <c r="T42" s="73"/>
      <c r="U42" s="73"/>
      <c r="V42" s="73"/>
      <c r="W42" s="73"/>
      <c r="X42" s="73"/>
      <c r="Y42" s="73"/>
      <c r="Z42" s="73"/>
      <c r="AA42" s="73"/>
      <c r="AB42" s="73"/>
      <c r="AC42" s="74"/>
      <c r="AD42" s="67"/>
    </row>
    <row r="43" spans="1:30" x14ac:dyDescent="0.3">
      <c r="A43" s="67"/>
      <c r="B43" s="72"/>
      <c r="C43" s="73"/>
      <c r="D43" s="73"/>
      <c r="E43" s="73"/>
      <c r="F43" s="73"/>
      <c r="G43" s="73"/>
      <c r="H43" s="73"/>
      <c r="I43" s="73"/>
      <c r="J43" s="73"/>
      <c r="K43" s="73"/>
      <c r="L43" s="73"/>
      <c r="M43" s="73"/>
      <c r="N43" s="73"/>
      <c r="O43" s="74"/>
      <c r="P43" s="67"/>
      <c r="Q43" s="72"/>
      <c r="R43" s="73"/>
      <c r="S43" s="73"/>
      <c r="T43" s="73"/>
      <c r="U43" s="73"/>
      <c r="V43" s="73"/>
      <c r="W43" s="73"/>
      <c r="X43" s="73"/>
      <c r="Y43" s="73"/>
      <c r="Z43" s="73"/>
      <c r="AA43" s="73"/>
      <c r="AB43" s="73"/>
      <c r="AC43" s="74"/>
      <c r="AD43" s="67"/>
    </row>
    <row r="44" spans="1:30" x14ac:dyDescent="0.3">
      <c r="A44" s="67"/>
      <c r="B44" s="72"/>
      <c r="C44" s="73"/>
      <c r="D44" s="73"/>
      <c r="E44" s="73"/>
      <c r="F44" s="73"/>
      <c r="G44" s="73"/>
      <c r="H44" s="73"/>
      <c r="I44" s="73"/>
      <c r="J44" s="73"/>
      <c r="K44" s="73"/>
      <c r="L44" s="73"/>
      <c r="M44" s="73"/>
      <c r="N44" s="73"/>
      <c r="O44" s="74"/>
      <c r="P44" s="67"/>
      <c r="Q44" s="72"/>
      <c r="R44" s="73"/>
      <c r="S44" s="73"/>
      <c r="T44" s="73"/>
      <c r="U44" s="73"/>
      <c r="V44" s="73"/>
      <c r="W44" s="73"/>
      <c r="X44" s="73"/>
      <c r="Y44" s="73"/>
      <c r="Z44" s="73"/>
      <c r="AA44" s="73"/>
      <c r="AB44" s="73"/>
      <c r="AC44" s="74"/>
      <c r="AD44" s="67"/>
    </row>
    <row r="45" spans="1:30" x14ac:dyDescent="0.3">
      <c r="A45" s="67"/>
      <c r="B45" s="72"/>
      <c r="C45" s="73"/>
      <c r="D45" s="73"/>
      <c r="E45" s="73"/>
      <c r="F45" s="73"/>
      <c r="G45" s="73"/>
      <c r="H45" s="73"/>
      <c r="I45" s="73"/>
      <c r="J45" s="73"/>
      <c r="K45" s="73"/>
      <c r="L45" s="73"/>
      <c r="M45" s="73"/>
      <c r="N45" s="73"/>
      <c r="O45" s="74"/>
      <c r="P45" s="67"/>
      <c r="Q45" s="72"/>
      <c r="R45" s="73"/>
      <c r="S45" s="73"/>
      <c r="T45" s="73"/>
      <c r="U45" s="73"/>
      <c r="V45" s="73"/>
      <c r="W45" s="73"/>
      <c r="X45" s="73"/>
      <c r="Y45" s="73"/>
      <c r="Z45" s="73"/>
      <c r="AA45" s="73"/>
      <c r="AB45" s="73"/>
      <c r="AC45" s="74"/>
      <c r="AD45" s="67"/>
    </row>
    <row r="46" spans="1:30" x14ac:dyDescent="0.3">
      <c r="A46" s="67"/>
      <c r="B46" s="72"/>
      <c r="C46" s="73"/>
      <c r="D46" s="73"/>
      <c r="E46" s="73"/>
      <c r="F46" s="73"/>
      <c r="G46" s="73"/>
      <c r="H46" s="73"/>
      <c r="I46" s="73"/>
      <c r="J46" s="73"/>
      <c r="K46" s="73"/>
      <c r="L46" s="73"/>
      <c r="M46" s="73"/>
      <c r="N46" s="73"/>
      <c r="O46" s="74"/>
      <c r="P46" s="67"/>
      <c r="Q46" s="72"/>
      <c r="R46" s="73"/>
      <c r="S46" s="73"/>
      <c r="T46" s="73"/>
      <c r="U46" s="73"/>
      <c r="V46" s="73"/>
      <c r="W46" s="73"/>
      <c r="X46" s="73"/>
      <c r="Y46" s="73"/>
      <c r="Z46" s="73"/>
      <c r="AA46" s="73"/>
      <c r="AB46" s="73"/>
      <c r="AC46" s="74"/>
      <c r="AD46" s="67"/>
    </row>
    <row r="47" spans="1:30" x14ac:dyDescent="0.3">
      <c r="A47" s="67"/>
      <c r="B47" s="72"/>
      <c r="C47" s="73"/>
      <c r="D47" s="73"/>
      <c r="E47" s="73"/>
      <c r="F47" s="73"/>
      <c r="G47" s="73"/>
      <c r="H47" s="73"/>
      <c r="I47" s="73"/>
      <c r="J47" s="73"/>
      <c r="K47" s="73"/>
      <c r="L47" s="73"/>
      <c r="M47" s="73"/>
      <c r="N47" s="73"/>
      <c r="O47" s="74"/>
      <c r="P47" s="67"/>
      <c r="Q47" s="72"/>
      <c r="R47" s="73"/>
      <c r="S47" s="73"/>
      <c r="T47" s="73"/>
      <c r="U47" s="73"/>
      <c r="V47" s="73"/>
      <c r="W47" s="73"/>
      <c r="X47" s="73"/>
      <c r="Y47" s="73"/>
      <c r="Z47" s="73"/>
      <c r="AA47" s="73"/>
      <c r="AB47" s="73"/>
      <c r="AC47" s="74"/>
      <c r="AD47" s="67"/>
    </row>
    <row r="48" spans="1:30" x14ac:dyDescent="0.3">
      <c r="A48" s="67"/>
      <c r="B48" s="72"/>
      <c r="C48" s="73"/>
      <c r="D48" s="73"/>
      <c r="E48" s="73"/>
      <c r="F48" s="73"/>
      <c r="G48" s="73"/>
      <c r="H48" s="73"/>
      <c r="I48" s="73"/>
      <c r="J48" s="73"/>
      <c r="K48" s="73"/>
      <c r="L48" s="73"/>
      <c r="M48" s="73"/>
      <c r="N48" s="73"/>
      <c r="O48" s="74"/>
      <c r="P48" s="67"/>
      <c r="Q48" s="72"/>
      <c r="R48" s="73"/>
      <c r="S48" s="73"/>
      <c r="T48" s="73"/>
      <c r="U48" s="73"/>
      <c r="V48" s="73"/>
      <c r="W48" s="73"/>
      <c r="X48" s="73"/>
      <c r="Y48" s="73"/>
      <c r="Z48" s="73"/>
      <c r="AA48" s="73"/>
      <c r="AB48" s="73"/>
      <c r="AC48" s="74"/>
      <c r="AD48" s="67"/>
    </row>
    <row r="49" spans="1:30" ht="15" thickBot="1" x14ac:dyDescent="0.35">
      <c r="A49" s="67"/>
      <c r="B49" s="75"/>
      <c r="C49" s="76"/>
      <c r="D49" s="76"/>
      <c r="E49" s="76"/>
      <c r="F49" s="76"/>
      <c r="G49" s="76"/>
      <c r="H49" s="76"/>
      <c r="I49" s="76"/>
      <c r="J49" s="76"/>
      <c r="K49" s="76"/>
      <c r="L49" s="76"/>
      <c r="M49" s="76"/>
      <c r="N49" s="76"/>
      <c r="O49" s="77"/>
      <c r="P49" s="67"/>
      <c r="Q49" s="75"/>
      <c r="R49" s="76"/>
      <c r="S49" s="76"/>
      <c r="T49" s="76"/>
      <c r="U49" s="76"/>
      <c r="V49" s="76"/>
      <c r="W49" s="76"/>
      <c r="X49" s="76"/>
      <c r="Y49" s="76"/>
      <c r="Z49" s="76"/>
      <c r="AA49" s="76"/>
      <c r="AB49" s="76"/>
      <c r="AC49" s="77"/>
      <c r="AD49" s="67"/>
    </row>
    <row r="50" spans="1:30" x14ac:dyDescent="0.3">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row>
    <row r="51" spans="1:30" x14ac:dyDescent="0.3">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row>
    <row r="52" spans="1:30" x14ac:dyDescent="0.3">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row>
    <row r="53" spans="1:30" x14ac:dyDescent="0.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row>
    <row r="54" spans="1:30" x14ac:dyDescent="0.3">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row>
    <row r="55" spans="1:30" x14ac:dyDescent="0.3">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row>
    <row r="56" spans="1:30" x14ac:dyDescent="0.3">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row>
    <row r="57" spans="1:30" x14ac:dyDescent="0.3">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row>
    <row r="58" spans="1:30" x14ac:dyDescent="0.3">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row>
    <row r="59" spans="1:30" x14ac:dyDescent="0.3">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row>
    <row r="60" spans="1:30" x14ac:dyDescent="0.3">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row>
    <row r="61" spans="1:30" x14ac:dyDescent="0.3">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row>
    <row r="62" spans="1:30" x14ac:dyDescent="0.3">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row>
    <row r="63" spans="1:30" x14ac:dyDescent="0.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row>
    <row r="64" spans="1:30" x14ac:dyDescent="0.3">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row>
    <row r="65" spans="1:30" x14ac:dyDescent="0.3">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row>
    <row r="66" spans="1:30" x14ac:dyDescent="0.3">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row>
    <row r="67" spans="1:30"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row>
    <row r="68" spans="1:30" x14ac:dyDescent="0.3">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row>
    <row r="69" spans="1:30"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row>
    <row r="70" spans="1:30" x14ac:dyDescent="0.3">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row>
    <row r="71" spans="1:30" x14ac:dyDescent="0.3">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row>
    <row r="72" spans="1:30" x14ac:dyDescent="0.3">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row>
    <row r="73" spans="1:30" x14ac:dyDescent="0.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row>
    <row r="74" spans="1:30" x14ac:dyDescent="0.3">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row>
    <row r="75" spans="1:30" x14ac:dyDescent="0.3">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row>
    <row r="76" spans="1:30" x14ac:dyDescent="0.3">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row>
    <row r="77" spans="1:30" x14ac:dyDescent="0.3">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row>
    <row r="78" spans="1:30" x14ac:dyDescent="0.3">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row>
    <row r="79" spans="1:30" x14ac:dyDescent="0.3">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row>
    <row r="80" spans="1:30" x14ac:dyDescent="0.3">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row>
    <row r="81" spans="1:30" x14ac:dyDescent="0.3">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row>
    <row r="82" spans="1:30" x14ac:dyDescent="0.3">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row>
    <row r="83" spans="1:30" x14ac:dyDescent="0.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c r="AC83" s="67"/>
      <c r="AD83" s="67"/>
    </row>
    <row r="84" spans="1:30" x14ac:dyDescent="0.3">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row>
    <row r="85" spans="1:30" x14ac:dyDescent="0.3">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row>
    <row r="86" spans="1:30" x14ac:dyDescent="0.3">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row>
    <row r="87" spans="1:30" x14ac:dyDescent="0.3">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c r="AC87" s="67"/>
      <c r="AD87" s="67"/>
    </row>
    <row r="88" spans="1:30" x14ac:dyDescent="0.3">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c r="AC88" s="67"/>
      <c r="AD88" s="67"/>
    </row>
    <row r="89" spans="1:30" x14ac:dyDescent="0.3">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row>
    <row r="90" spans="1:30" x14ac:dyDescent="0.3">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row>
    <row r="91" spans="1:30" x14ac:dyDescent="0.3">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row>
    <row r="92" spans="1:30" x14ac:dyDescent="0.3">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row>
    <row r="93" spans="1:30" x14ac:dyDescent="0.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row>
    <row r="94" spans="1:30" x14ac:dyDescent="0.3">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row>
    <row r="95" spans="1:30" x14ac:dyDescent="0.3">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row>
    <row r="96" spans="1:30" x14ac:dyDescent="0.3">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row>
    <row r="97" spans="1:30" x14ac:dyDescent="0.3">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row>
    <row r="98" spans="1:30" x14ac:dyDescent="0.3">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row>
    <row r="99" spans="1:30" x14ac:dyDescent="0.3">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row>
    <row r="100" spans="1:30" x14ac:dyDescent="0.3">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row>
    <row r="101" spans="1:30" x14ac:dyDescent="0.3">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row>
    <row r="102" spans="1:30" x14ac:dyDescent="0.3">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row>
    <row r="103" spans="1:30" x14ac:dyDescent="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row>
    <row r="104" spans="1:30" x14ac:dyDescent="0.3">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row>
    <row r="105" spans="1:30" x14ac:dyDescent="0.3">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row>
    <row r="106" spans="1:30" x14ac:dyDescent="0.3">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row>
    <row r="107" spans="1:30" x14ac:dyDescent="0.3">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row>
    <row r="108" spans="1:30" x14ac:dyDescent="0.3">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row>
    <row r="109" spans="1:30" x14ac:dyDescent="0.3">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row>
    <row r="110" spans="1:30" x14ac:dyDescent="0.3">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row>
    <row r="111" spans="1:30" x14ac:dyDescent="0.3">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row>
    <row r="112" spans="1:30" x14ac:dyDescent="0.3">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row>
    <row r="113" spans="1:30" x14ac:dyDescent="0.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row>
    <row r="114" spans="1:30" x14ac:dyDescent="0.3">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row>
    <row r="115" spans="1:30" x14ac:dyDescent="0.3">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row>
    <row r="116" spans="1:30" x14ac:dyDescent="0.3">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row>
    <row r="117" spans="1:30" x14ac:dyDescent="0.3">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row>
    <row r="118" spans="1:30" x14ac:dyDescent="0.3">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row>
    <row r="119" spans="1:30" x14ac:dyDescent="0.3">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row>
    <row r="120" spans="1:30" x14ac:dyDescent="0.3">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row>
    <row r="121" spans="1:30" x14ac:dyDescent="0.3">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row>
    <row r="122" spans="1:30" x14ac:dyDescent="0.3">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row>
    <row r="123" spans="1:30" x14ac:dyDescent="0.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row>
    <row r="124" spans="1:30" x14ac:dyDescent="0.3">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row>
    <row r="125" spans="1:30" x14ac:dyDescent="0.3">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row>
    <row r="126" spans="1:30" x14ac:dyDescent="0.3">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row>
    <row r="127" spans="1:30" x14ac:dyDescent="0.3">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row>
    <row r="128" spans="1:30" x14ac:dyDescent="0.3">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row>
    <row r="129" spans="1:30" x14ac:dyDescent="0.3">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row>
    <row r="130" spans="1:30" x14ac:dyDescent="0.3">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row>
    <row r="131" spans="1:30" x14ac:dyDescent="0.3">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row>
    <row r="132" spans="1:30" x14ac:dyDescent="0.3">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row>
    <row r="133" spans="1:30" x14ac:dyDescent="0.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row>
    <row r="134" spans="1:30" x14ac:dyDescent="0.3">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row>
    <row r="135" spans="1:30" x14ac:dyDescent="0.3">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row>
    <row r="136" spans="1:30" x14ac:dyDescent="0.3">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row>
    <row r="137" spans="1:30" x14ac:dyDescent="0.3">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row>
    <row r="138" spans="1:30" x14ac:dyDescent="0.3">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row>
    <row r="139" spans="1:30" x14ac:dyDescent="0.3">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row>
    <row r="140" spans="1:30" x14ac:dyDescent="0.3">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row>
    <row r="141" spans="1:30" x14ac:dyDescent="0.3">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row>
    <row r="142" spans="1:30" x14ac:dyDescent="0.3">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row>
    <row r="143" spans="1:30" x14ac:dyDescent="0.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row>
    <row r="144" spans="1:30" x14ac:dyDescent="0.3">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row>
    <row r="145" spans="1:30" x14ac:dyDescent="0.3">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row>
    <row r="146" spans="1:30" x14ac:dyDescent="0.3">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row>
    <row r="147" spans="1:30" x14ac:dyDescent="0.3">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row>
    <row r="148" spans="1:30" x14ac:dyDescent="0.3">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row>
    <row r="149" spans="1:30" x14ac:dyDescent="0.3">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row>
    <row r="150" spans="1:30" x14ac:dyDescent="0.3">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row>
    <row r="151" spans="1:30" x14ac:dyDescent="0.3">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row>
    <row r="152" spans="1:30" x14ac:dyDescent="0.3">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row>
    <row r="153" spans="1:30" x14ac:dyDescent="0.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row>
    <row r="154" spans="1:30" x14ac:dyDescent="0.3">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row>
    <row r="155" spans="1:30" x14ac:dyDescent="0.3">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row>
    <row r="156" spans="1:30" x14ac:dyDescent="0.3">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row>
    <row r="157" spans="1:30" x14ac:dyDescent="0.3">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row>
    <row r="158" spans="1:30" x14ac:dyDescent="0.3">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row>
    <row r="159" spans="1:30" x14ac:dyDescent="0.3">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row>
    <row r="160" spans="1:30" x14ac:dyDescent="0.3">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row>
    <row r="161" spans="1:30" x14ac:dyDescent="0.3">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row>
    <row r="162" spans="1:30" x14ac:dyDescent="0.3">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row>
    <row r="163" spans="1:30" x14ac:dyDescent="0.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row>
    <row r="164" spans="1:30" x14ac:dyDescent="0.3">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row>
    <row r="165" spans="1:30" x14ac:dyDescent="0.3">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row>
    <row r="166" spans="1:30" x14ac:dyDescent="0.3">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row>
    <row r="167" spans="1:30" x14ac:dyDescent="0.3">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row>
    <row r="168" spans="1:30" x14ac:dyDescent="0.3">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row>
    <row r="169" spans="1:30" x14ac:dyDescent="0.3">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row>
    <row r="170" spans="1:30" x14ac:dyDescent="0.3">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row>
    <row r="171" spans="1:30" x14ac:dyDescent="0.3">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row>
    <row r="172" spans="1:30" x14ac:dyDescent="0.3">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row>
    <row r="173" spans="1:30" x14ac:dyDescent="0.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row>
    <row r="174" spans="1:30" x14ac:dyDescent="0.3">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row>
    <row r="175" spans="1:30" x14ac:dyDescent="0.3">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row>
    <row r="176" spans="1:30" x14ac:dyDescent="0.3">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row>
    <row r="177" spans="1:30" x14ac:dyDescent="0.3">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row>
    <row r="178" spans="1:30" x14ac:dyDescent="0.3">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row>
    <row r="179" spans="1:30" x14ac:dyDescent="0.3">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row>
    <row r="180" spans="1:30" x14ac:dyDescent="0.3">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row>
    <row r="181" spans="1:30" x14ac:dyDescent="0.3">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row>
    <row r="182" spans="1:30" x14ac:dyDescent="0.3">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row>
    <row r="183" spans="1:30" x14ac:dyDescent="0.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row>
    <row r="184" spans="1:30" x14ac:dyDescent="0.3">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row>
    <row r="185" spans="1:30" x14ac:dyDescent="0.3">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row>
    <row r="186" spans="1:30" x14ac:dyDescent="0.3">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row>
    <row r="187" spans="1:30" x14ac:dyDescent="0.3">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row>
    <row r="188" spans="1:30" x14ac:dyDescent="0.3">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row>
    <row r="189" spans="1:30" x14ac:dyDescent="0.3">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row>
    <row r="190" spans="1:30" x14ac:dyDescent="0.3">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row>
    <row r="191" spans="1:30" x14ac:dyDescent="0.3">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row>
    <row r="192" spans="1:30" x14ac:dyDescent="0.3">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row>
    <row r="193" spans="1:30" x14ac:dyDescent="0.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row>
    <row r="194" spans="1:30" x14ac:dyDescent="0.3">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row>
    <row r="195" spans="1:30" x14ac:dyDescent="0.3">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row>
    <row r="196" spans="1:30" x14ac:dyDescent="0.3">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row>
    <row r="197" spans="1:30" x14ac:dyDescent="0.3">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row>
    <row r="198" spans="1:30" x14ac:dyDescent="0.3">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row>
    <row r="199" spans="1:30" x14ac:dyDescent="0.3">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row>
    <row r="200" spans="1:30" x14ac:dyDescent="0.3">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row>
    <row r="201" spans="1:30" x14ac:dyDescent="0.3">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row>
    <row r="202" spans="1:30" x14ac:dyDescent="0.3">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row>
    <row r="203" spans="1:30" x14ac:dyDescent="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row>
    <row r="204" spans="1:30" x14ac:dyDescent="0.3">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row>
    <row r="205" spans="1:30" x14ac:dyDescent="0.3">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row>
    <row r="206" spans="1:30" x14ac:dyDescent="0.3">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row>
    <row r="207" spans="1:30" x14ac:dyDescent="0.3">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row>
    <row r="208" spans="1:30" x14ac:dyDescent="0.3">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row>
    <row r="209" spans="1:30" x14ac:dyDescent="0.3">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row>
    <row r="210" spans="1:30" x14ac:dyDescent="0.3">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row>
    <row r="211" spans="1:30" x14ac:dyDescent="0.3">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row>
    <row r="212" spans="1:30" x14ac:dyDescent="0.3">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row>
    <row r="213" spans="1:30" x14ac:dyDescent="0.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row>
    <row r="214" spans="1:30" x14ac:dyDescent="0.3">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row>
    <row r="215" spans="1:30" x14ac:dyDescent="0.3">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row>
    <row r="216" spans="1:30" x14ac:dyDescent="0.3">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row>
    <row r="217" spans="1:30" x14ac:dyDescent="0.3">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row>
    <row r="218" spans="1:30" x14ac:dyDescent="0.3">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row>
    <row r="219" spans="1:30" x14ac:dyDescent="0.3">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row>
    <row r="220" spans="1:30" x14ac:dyDescent="0.3">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row>
    <row r="221" spans="1:30" x14ac:dyDescent="0.3">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row>
    <row r="222" spans="1:30" x14ac:dyDescent="0.3">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row>
    <row r="223" spans="1:30" x14ac:dyDescent="0.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row>
    <row r="224" spans="1:30" x14ac:dyDescent="0.3">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row>
    <row r="225" spans="1:30" x14ac:dyDescent="0.3">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row>
    <row r="226" spans="1:30" x14ac:dyDescent="0.3">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row>
    <row r="227" spans="1:30" x14ac:dyDescent="0.3">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row>
    <row r="228" spans="1:30" x14ac:dyDescent="0.3">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row>
    <row r="229" spans="1:30" x14ac:dyDescent="0.3">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row>
    <row r="230" spans="1:30" x14ac:dyDescent="0.3">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row>
    <row r="231" spans="1:30" x14ac:dyDescent="0.3">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row>
    <row r="232" spans="1:30" x14ac:dyDescent="0.3">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row>
    <row r="233" spans="1:30" x14ac:dyDescent="0.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row>
    <row r="234" spans="1:30" x14ac:dyDescent="0.3">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row>
    <row r="235" spans="1:30" x14ac:dyDescent="0.3">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row>
    <row r="236" spans="1:30" x14ac:dyDescent="0.3">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row>
    <row r="237" spans="1:30" x14ac:dyDescent="0.3">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row>
    <row r="238" spans="1:30" x14ac:dyDescent="0.3">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row>
    <row r="239" spans="1:30" x14ac:dyDescent="0.3">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row>
    <row r="240" spans="1:30" x14ac:dyDescent="0.3">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row>
    <row r="241" spans="1:30" x14ac:dyDescent="0.3">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row>
    <row r="242" spans="1:30" x14ac:dyDescent="0.3">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row>
    <row r="243" spans="1:30" x14ac:dyDescent="0.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row>
    <row r="244" spans="1:30" x14ac:dyDescent="0.3">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row>
    <row r="245" spans="1:30" x14ac:dyDescent="0.3">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row>
    <row r="246" spans="1:30" x14ac:dyDescent="0.3">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row>
    <row r="247" spans="1:30" x14ac:dyDescent="0.3">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row>
    <row r="248" spans="1:30" x14ac:dyDescent="0.3">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row>
    <row r="249" spans="1:30" x14ac:dyDescent="0.3">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row>
    <row r="250" spans="1:30" x14ac:dyDescent="0.3">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row>
    <row r="251" spans="1:30" x14ac:dyDescent="0.3">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row>
    <row r="252" spans="1:30" x14ac:dyDescent="0.3">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row>
    <row r="253" spans="1:30" x14ac:dyDescent="0.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row>
    <row r="254" spans="1:30" x14ac:dyDescent="0.3">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row>
    <row r="255" spans="1:30" x14ac:dyDescent="0.3">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row>
    <row r="256" spans="1:30" x14ac:dyDescent="0.3">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row>
    <row r="257" spans="1:30" x14ac:dyDescent="0.3">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row>
    <row r="258" spans="1:30" x14ac:dyDescent="0.3">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row>
    <row r="259" spans="1:30" x14ac:dyDescent="0.3">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row>
    <row r="260" spans="1:30" x14ac:dyDescent="0.3">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row>
    <row r="261" spans="1:30" x14ac:dyDescent="0.3">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row>
    <row r="262" spans="1:30" x14ac:dyDescent="0.3">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row>
    <row r="263" spans="1:30" x14ac:dyDescent="0.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row>
    <row r="264" spans="1:30" x14ac:dyDescent="0.3">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row>
    <row r="265" spans="1:30" x14ac:dyDescent="0.3">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row>
    <row r="266" spans="1:30" x14ac:dyDescent="0.3">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row>
    <row r="267" spans="1:30" x14ac:dyDescent="0.3">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row>
    <row r="268" spans="1:30" x14ac:dyDescent="0.3">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row>
    <row r="269" spans="1:30" x14ac:dyDescent="0.3">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row>
    <row r="270" spans="1:30" x14ac:dyDescent="0.3">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row>
    <row r="271" spans="1:30" x14ac:dyDescent="0.3">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row>
    <row r="272" spans="1:30" x14ac:dyDescent="0.3">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row>
    <row r="273" spans="1:30" x14ac:dyDescent="0.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row>
    <row r="274" spans="1:30" x14ac:dyDescent="0.3">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row>
    <row r="275" spans="1:30" x14ac:dyDescent="0.3">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row>
    <row r="276" spans="1:30" x14ac:dyDescent="0.3">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row>
    <row r="277" spans="1:30" x14ac:dyDescent="0.3">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row>
    <row r="278" spans="1:30" x14ac:dyDescent="0.3">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row>
    <row r="279" spans="1:30" x14ac:dyDescent="0.3">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row>
    <row r="280" spans="1:30" x14ac:dyDescent="0.3">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row>
    <row r="281" spans="1:30" x14ac:dyDescent="0.3">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row>
    <row r="282" spans="1:30" x14ac:dyDescent="0.3">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row>
    <row r="283" spans="1:30" x14ac:dyDescent="0.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row>
    <row r="284" spans="1:30" x14ac:dyDescent="0.3">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row>
    <row r="285" spans="1:30" x14ac:dyDescent="0.3">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row>
    <row r="286" spans="1:30" x14ac:dyDescent="0.3">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row>
    <row r="287" spans="1:30" x14ac:dyDescent="0.3">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row>
    <row r="288" spans="1:30" x14ac:dyDescent="0.3">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row>
    <row r="289" spans="1:30" x14ac:dyDescent="0.3">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row>
    <row r="290" spans="1:30" x14ac:dyDescent="0.3">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row>
    <row r="291" spans="1:30" x14ac:dyDescent="0.3">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row>
    <row r="292" spans="1:30" x14ac:dyDescent="0.3">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row>
    <row r="293" spans="1:30" x14ac:dyDescent="0.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row>
    <row r="294" spans="1:30" x14ac:dyDescent="0.3">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row>
    <row r="295" spans="1:30" x14ac:dyDescent="0.3">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row>
    <row r="296" spans="1:30" x14ac:dyDescent="0.3">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row>
    <row r="297" spans="1:30" x14ac:dyDescent="0.3">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row>
    <row r="298" spans="1:30" x14ac:dyDescent="0.3">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row>
    <row r="299" spans="1:30" x14ac:dyDescent="0.3">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row>
    <row r="300" spans="1:30" x14ac:dyDescent="0.3">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row>
    <row r="301" spans="1:30" x14ac:dyDescent="0.3">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row>
    <row r="302" spans="1:30" x14ac:dyDescent="0.3">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row>
    <row r="303" spans="1:30" x14ac:dyDescent="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row>
    <row r="304" spans="1:30" x14ac:dyDescent="0.3">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row>
    <row r="305" spans="1:30" x14ac:dyDescent="0.3">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row>
    <row r="306" spans="1:30" x14ac:dyDescent="0.3">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row>
    <row r="307" spans="1:30" x14ac:dyDescent="0.3">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row>
  </sheetData>
  <mergeCells count="5">
    <mergeCell ref="A1:AD1"/>
    <mergeCell ref="B3:O4"/>
    <mergeCell ref="Q3:AC4"/>
    <mergeCell ref="B27:O28"/>
    <mergeCell ref="Q27:AC2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topLeftCell="A3" zoomScale="87" workbookViewId="0">
      <selection sqref="A1:Y34"/>
    </sheetView>
  </sheetViews>
  <sheetFormatPr defaultRowHeight="14.4" x14ac:dyDescent="0.3"/>
  <sheetData>
    <row r="1" spans="1:25" x14ac:dyDescent="0.3">
      <c r="A1" s="104" t="s">
        <v>462</v>
      </c>
      <c r="B1" s="103"/>
      <c r="C1" s="103"/>
      <c r="D1" s="103"/>
      <c r="E1" s="103"/>
      <c r="F1" s="103"/>
      <c r="G1" s="103"/>
      <c r="H1" s="103"/>
      <c r="I1" s="103"/>
      <c r="J1" s="103"/>
      <c r="K1" s="103"/>
      <c r="L1" s="103"/>
      <c r="M1" s="103"/>
      <c r="N1" s="103"/>
      <c r="O1" s="103"/>
      <c r="P1" s="103"/>
      <c r="Q1" s="103"/>
      <c r="R1" s="103"/>
      <c r="S1" s="103"/>
      <c r="T1" s="103"/>
      <c r="U1" s="103"/>
      <c r="V1" s="103"/>
      <c r="W1" s="103"/>
      <c r="X1" s="103"/>
      <c r="Y1" s="103"/>
    </row>
    <row r="2" spans="1:25" x14ac:dyDescent="0.3">
      <c r="A2" s="103"/>
      <c r="B2" s="103"/>
      <c r="C2" s="103"/>
      <c r="D2" s="103"/>
      <c r="E2" s="103"/>
      <c r="F2" s="103"/>
      <c r="G2" s="103"/>
      <c r="H2" s="103"/>
      <c r="I2" s="103"/>
      <c r="J2" s="103"/>
      <c r="K2" s="103"/>
      <c r="L2" s="103"/>
      <c r="M2" s="103"/>
      <c r="N2" s="103"/>
      <c r="O2" s="103"/>
      <c r="P2" s="103"/>
      <c r="Q2" s="103"/>
      <c r="R2" s="103"/>
      <c r="S2" s="103"/>
      <c r="T2" s="103"/>
      <c r="U2" s="103"/>
      <c r="V2" s="103"/>
      <c r="W2" s="103"/>
      <c r="X2" s="103"/>
      <c r="Y2" s="103"/>
    </row>
    <row r="3" spans="1:25" x14ac:dyDescent="0.3">
      <c r="A3" s="103"/>
      <c r="B3" s="103"/>
      <c r="C3" s="103"/>
      <c r="D3" s="103"/>
      <c r="E3" s="103"/>
      <c r="F3" s="103"/>
      <c r="G3" s="103"/>
      <c r="H3" s="103"/>
      <c r="I3" s="103"/>
      <c r="J3" s="103"/>
      <c r="K3" s="103"/>
      <c r="L3" s="103"/>
      <c r="M3" s="103"/>
      <c r="N3" s="103"/>
      <c r="O3" s="103"/>
      <c r="P3" s="103"/>
      <c r="Q3" s="103"/>
      <c r="R3" s="103"/>
      <c r="S3" s="103"/>
      <c r="T3" s="103"/>
      <c r="U3" s="103"/>
      <c r="V3" s="103"/>
      <c r="W3" s="103"/>
      <c r="X3" s="103"/>
      <c r="Y3" s="103"/>
    </row>
    <row r="4" spans="1:25" x14ac:dyDescent="0.3">
      <c r="A4" s="103"/>
      <c r="B4" s="103"/>
      <c r="C4" s="103"/>
      <c r="D4" s="103"/>
      <c r="E4" s="103"/>
      <c r="F4" s="103"/>
      <c r="G4" s="103"/>
      <c r="H4" s="103"/>
      <c r="I4" s="103"/>
      <c r="J4" s="103"/>
      <c r="K4" s="103"/>
      <c r="L4" s="103"/>
      <c r="M4" s="103"/>
      <c r="N4" s="103"/>
      <c r="O4" s="103"/>
      <c r="P4" s="103"/>
      <c r="Q4" s="103"/>
      <c r="R4" s="103"/>
      <c r="S4" s="103"/>
      <c r="T4" s="103"/>
      <c r="U4" s="103"/>
      <c r="V4" s="103"/>
      <c r="W4" s="103"/>
      <c r="X4" s="103"/>
      <c r="Y4" s="103"/>
    </row>
    <row r="5" spans="1:25" x14ac:dyDescent="0.3">
      <c r="A5" s="103"/>
      <c r="B5" s="103"/>
      <c r="C5" s="103"/>
      <c r="D5" s="103"/>
      <c r="E5" s="103"/>
      <c r="F5" s="103"/>
      <c r="G5" s="103"/>
      <c r="H5" s="103"/>
      <c r="I5" s="103"/>
      <c r="J5" s="103"/>
      <c r="K5" s="103"/>
      <c r="L5" s="103"/>
      <c r="M5" s="103"/>
      <c r="N5" s="103"/>
      <c r="O5" s="103"/>
      <c r="P5" s="103"/>
      <c r="Q5" s="103"/>
      <c r="R5" s="103"/>
      <c r="S5" s="103"/>
      <c r="T5" s="103"/>
      <c r="U5" s="103"/>
      <c r="V5" s="103"/>
      <c r="W5" s="103"/>
      <c r="X5" s="103"/>
      <c r="Y5" s="103"/>
    </row>
    <row r="6" spans="1:25" x14ac:dyDescent="0.3">
      <c r="A6" s="103"/>
      <c r="B6" s="103"/>
      <c r="C6" s="103"/>
      <c r="D6" s="103"/>
      <c r="E6" s="103"/>
      <c r="F6" s="103"/>
      <c r="G6" s="103"/>
      <c r="H6" s="103"/>
      <c r="I6" s="103"/>
      <c r="J6" s="103"/>
      <c r="K6" s="103"/>
      <c r="L6" s="103"/>
      <c r="M6" s="103"/>
      <c r="N6" s="103"/>
      <c r="O6" s="103"/>
      <c r="P6" s="103"/>
      <c r="Q6" s="103"/>
      <c r="R6" s="103"/>
      <c r="S6" s="103"/>
      <c r="T6" s="103"/>
      <c r="U6" s="103"/>
      <c r="V6" s="103"/>
      <c r="W6" s="103"/>
      <c r="X6" s="103"/>
      <c r="Y6" s="103"/>
    </row>
    <row r="7" spans="1:25" x14ac:dyDescent="0.3">
      <c r="A7" s="103"/>
      <c r="B7" s="103"/>
      <c r="C7" s="103"/>
      <c r="D7" s="103"/>
      <c r="E7" s="103"/>
      <c r="F7" s="103"/>
      <c r="G7" s="103"/>
      <c r="H7" s="103"/>
      <c r="I7" s="103"/>
      <c r="J7" s="103"/>
      <c r="K7" s="103"/>
      <c r="L7" s="103"/>
      <c r="M7" s="103"/>
      <c r="N7" s="103"/>
      <c r="O7" s="103"/>
      <c r="P7" s="103"/>
      <c r="Q7" s="103"/>
      <c r="R7" s="103"/>
      <c r="S7" s="103"/>
      <c r="T7" s="103"/>
      <c r="U7" s="103"/>
      <c r="V7" s="103"/>
      <c r="W7" s="103"/>
      <c r="X7" s="103"/>
      <c r="Y7" s="103"/>
    </row>
    <row r="8" spans="1:25" x14ac:dyDescent="0.3">
      <c r="A8" s="103"/>
      <c r="B8" s="103"/>
      <c r="C8" s="103"/>
      <c r="D8" s="103"/>
      <c r="E8" s="103"/>
      <c r="F8" s="103"/>
      <c r="G8" s="103"/>
      <c r="H8" s="103"/>
      <c r="I8" s="103"/>
      <c r="J8" s="103"/>
      <c r="K8" s="103"/>
      <c r="L8" s="103"/>
      <c r="M8" s="103"/>
      <c r="N8" s="103"/>
      <c r="O8" s="103"/>
      <c r="P8" s="103"/>
      <c r="Q8" s="103"/>
      <c r="R8" s="103"/>
      <c r="S8" s="103"/>
      <c r="T8" s="103"/>
      <c r="U8" s="103"/>
      <c r="V8" s="103"/>
      <c r="W8" s="103"/>
      <c r="X8" s="103"/>
      <c r="Y8" s="103"/>
    </row>
    <row r="9" spans="1:25" x14ac:dyDescent="0.3">
      <c r="A9" s="103"/>
      <c r="B9" s="103"/>
      <c r="C9" s="103"/>
      <c r="D9" s="103"/>
      <c r="E9" s="103"/>
      <c r="F9" s="103"/>
      <c r="G9" s="103"/>
      <c r="H9" s="103"/>
      <c r="I9" s="103"/>
      <c r="J9" s="103"/>
      <c r="K9" s="103"/>
      <c r="L9" s="103"/>
      <c r="M9" s="103"/>
      <c r="N9" s="103"/>
      <c r="O9" s="103"/>
      <c r="P9" s="103"/>
      <c r="Q9" s="103"/>
      <c r="R9" s="103"/>
      <c r="S9" s="103"/>
      <c r="T9" s="103"/>
      <c r="U9" s="103"/>
      <c r="V9" s="103"/>
      <c r="W9" s="103"/>
      <c r="X9" s="103"/>
      <c r="Y9" s="103"/>
    </row>
    <row r="10" spans="1:25" x14ac:dyDescent="0.3">
      <c r="A10" s="103"/>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row>
    <row r="11" spans="1:25" x14ac:dyDescent="0.3">
      <c r="A11" s="103"/>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row>
    <row r="12" spans="1:25" x14ac:dyDescent="0.3">
      <c r="A12" s="103"/>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row>
    <row r="13" spans="1:25" x14ac:dyDescent="0.3">
      <c r="A13" s="103"/>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row>
    <row r="14" spans="1:25" x14ac:dyDescent="0.3">
      <c r="A14" s="103"/>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row>
    <row r="15" spans="1:25" x14ac:dyDescent="0.3">
      <c r="A15" s="103"/>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row>
    <row r="16" spans="1:25" x14ac:dyDescent="0.3">
      <c r="A16" s="103"/>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row>
    <row r="17" spans="1:25" x14ac:dyDescent="0.3">
      <c r="A17" s="103"/>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row>
    <row r="18" spans="1:25" x14ac:dyDescent="0.3">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row>
    <row r="19" spans="1:25" x14ac:dyDescent="0.3">
      <c r="A19" s="103"/>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row>
    <row r="20" spans="1:25" x14ac:dyDescent="0.3">
      <c r="A20" s="103"/>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row>
    <row r="21" spans="1:25" x14ac:dyDescent="0.3">
      <c r="A21" s="103"/>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row>
    <row r="22" spans="1:25" x14ac:dyDescent="0.3">
      <c r="A22" s="103"/>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row>
    <row r="23" spans="1:25" x14ac:dyDescent="0.3">
      <c r="A23" s="103"/>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row>
    <row r="24" spans="1:25" x14ac:dyDescent="0.3">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row>
    <row r="25" spans="1:25" x14ac:dyDescent="0.3">
      <c r="A25" s="103"/>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row>
    <row r="26" spans="1:25" x14ac:dyDescent="0.3">
      <c r="A26" s="103"/>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1:25" x14ac:dyDescent="0.3">
      <c r="A27" s="103"/>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row>
    <row r="28" spans="1:25" x14ac:dyDescent="0.3">
      <c r="A28" s="103"/>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row>
    <row r="29" spans="1:25" x14ac:dyDescent="0.3">
      <c r="A29" s="103"/>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row>
    <row r="30" spans="1:25" x14ac:dyDescent="0.3">
      <c r="A30" s="103"/>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spans="1:25" x14ac:dyDescent="0.3">
      <c r="A31" s="103"/>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row>
    <row r="32" spans="1:25" x14ac:dyDescent="0.3">
      <c r="A32" s="103"/>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row>
    <row r="33" spans="1:25" x14ac:dyDescent="0.3">
      <c r="A33" s="103"/>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row>
    <row r="34" spans="1:25" x14ac:dyDescent="0.3">
      <c r="A34" s="103"/>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row>
    <row r="35" spans="1:25" x14ac:dyDescent="0.3">
      <c r="A35" s="105"/>
    </row>
  </sheetData>
  <mergeCells count="1">
    <mergeCell ref="A1:Y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DataSheet</vt:lpstr>
      <vt:lpstr>DataAnalysis</vt:lpstr>
      <vt:lpstr>PivotTables</vt:lpstr>
      <vt:lpstr>Sheet7</vt:lpstr>
      <vt:lpstr>DashBoard</vt:lpstr>
      <vt:lpstr>SummarySheet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dc:creator>
  <cp:lastModifiedBy>GOPI</cp:lastModifiedBy>
  <dcterms:created xsi:type="dcterms:W3CDTF">2025-11-26T03:46:20Z</dcterms:created>
  <dcterms:modified xsi:type="dcterms:W3CDTF">2025-11-26T08:01:32Z</dcterms:modified>
</cp:coreProperties>
</file>